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oner\Desktop\NIH\FILES_CHE_CAMBIANO\DAVID_TASK_SKIP_ACCEPT\LPFC_REORGANIZED_BY_ROSSELLA_FALCONE\SEAM\"/>
    </mc:Choice>
  </mc:AlternateContent>
  <xr:revisionPtr revIDLastSave="0" documentId="13_ncr:1_{A9258B1A-3076-45DE-A33D-24E52375260F}" xr6:coauthVersionLast="36" xr6:coauthVersionMax="36" xr10:uidLastSave="{00000000-0000-0000-0000-000000000000}"/>
  <bookViews>
    <workbookView xWindow="0" yWindow="0" windowWidth="15576" windowHeight="9660" activeTab="2" xr2:uid="{00000000-000D-0000-FFFF-FFFF00000000}"/>
  </bookViews>
  <sheets>
    <sheet name="FILES_SORTED_GENERAL" sheetId="2" r:id="rId1"/>
    <sheet name="FILES_SORTED_FINALE" sheetId="3" r:id="rId2"/>
    <sheet name="FILES_SORTED_ONLY_DIFFERENT_CEL" sheetId="5" r:id="rId3"/>
    <sheet name="COMMON_CEL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8" i="4" l="1"/>
  <c r="I84" i="5"/>
  <c r="I85" i="5" s="1"/>
  <c r="I86" i="5" s="1"/>
  <c r="I87" i="5" s="1"/>
  <c r="I73" i="5"/>
  <c r="I67" i="5"/>
  <c r="I61" i="5"/>
  <c r="I62" i="5" s="1"/>
  <c r="I53" i="5"/>
  <c r="I54" i="5" s="1"/>
  <c r="I55" i="5" s="1"/>
  <c r="I56" i="5" s="1"/>
  <c r="I57" i="5" s="1"/>
  <c r="I58" i="5" s="1"/>
  <c r="I48" i="5"/>
  <c r="I50" i="5" s="1"/>
  <c r="I40" i="5"/>
  <c r="I41" i="5" s="1"/>
  <c r="I35" i="5"/>
  <c r="I36" i="5" s="1"/>
  <c r="I37" i="5" s="1"/>
  <c r="I24" i="5"/>
  <c r="I25" i="5" s="1"/>
  <c r="I26" i="5" s="1"/>
  <c r="I27" i="5" s="1"/>
  <c r="I29" i="5" s="1"/>
  <c r="I30" i="5" s="1"/>
  <c r="I31" i="5" s="1"/>
  <c r="I97" i="3"/>
  <c r="I98" i="3" s="1"/>
  <c r="I99" i="3" s="1"/>
  <c r="I100" i="3" s="1"/>
  <c r="J9" i="4" l="1"/>
  <c r="I81" i="3"/>
  <c r="I82" i="3" s="1"/>
  <c r="I83" i="3" s="1"/>
  <c r="I70" i="3"/>
  <c r="I71" i="3" s="1"/>
  <c r="I72" i="3" s="1"/>
  <c r="I73" i="3" s="1"/>
  <c r="I65" i="3"/>
  <c r="I66" i="3" s="1"/>
  <c r="I67" i="3" s="1"/>
  <c r="I57" i="3"/>
  <c r="I58" i="3" s="1"/>
  <c r="I59" i="3" s="1"/>
  <c r="I60" i="3" s="1"/>
  <c r="I61" i="3" s="1"/>
  <c r="I62" i="3" s="1"/>
  <c r="I51" i="3"/>
  <c r="I52" i="3" s="1"/>
  <c r="I53" i="3" s="1"/>
  <c r="I54" i="3" s="1"/>
  <c r="I43" i="3"/>
  <c r="I44" i="3" s="1"/>
  <c r="I38" i="3"/>
  <c r="I39" i="3" s="1"/>
  <c r="I40" i="3" s="1"/>
  <c r="I25" i="3"/>
  <c r="I26" i="3" s="1"/>
  <c r="I27" i="3" s="1"/>
  <c r="I28" i="3" s="1"/>
  <c r="I29" i="3" s="1"/>
  <c r="I30" i="3" s="1"/>
  <c r="I31" i="3" s="1"/>
  <c r="I32" i="3" s="1"/>
  <c r="I33" i="3" s="1"/>
  <c r="I34" i="3" s="1"/>
  <c r="I48" i="2"/>
  <c r="I49" i="2" s="1"/>
  <c r="I50" i="2" s="1"/>
  <c r="I30" i="2"/>
  <c r="I31" i="2" s="1"/>
  <c r="I32" i="2" s="1"/>
  <c r="I33" i="2" s="1"/>
  <c r="I34" i="2" s="1"/>
  <c r="I35" i="2" s="1"/>
  <c r="I37" i="2" s="1"/>
  <c r="I38" i="2" s="1"/>
  <c r="I39" i="2" s="1"/>
  <c r="I40" i="2" s="1"/>
  <c r="I41" i="2" s="1"/>
  <c r="I42" i="2" s="1"/>
  <c r="I43" i="2" s="1"/>
  <c r="I44" i="2" s="1"/>
  <c r="I45" i="2" s="1"/>
</calcChain>
</file>

<file path=xl/sharedStrings.xml><?xml version="1.0" encoding="utf-8"?>
<sst xmlns="http://schemas.openxmlformats.org/spreadsheetml/2006/main" count="862" uniqueCount="88">
  <si>
    <t>DAY</t>
  </si>
  <si>
    <t>UNIT</t>
  </si>
  <si>
    <t>TRIAL_END</t>
  </si>
  <si>
    <t>TRIAL_FIRST</t>
  </si>
  <si>
    <t>DATE</t>
  </si>
  <si>
    <t>FIXATION</t>
  </si>
  <si>
    <t>no</t>
  </si>
  <si>
    <t>a</t>
  </si>
  <si>
    <t>b</t>
  </si>
  <si>
    <t>FILE_NAME</t>
  </si>
  <si>
    <t>seam_300516_sort.nev</t>
  </si>
  <si>
    <t>TASK</t>
  </si>
  <si>
    <t>yes</t>
  </si>
  <si>
    <t>A</t>
  </si>
  <si>
    <t>COMMENTS</t>
  </si>
  <si>
    <t>same neuron like in 59</t>
  </si>
  <si>
    <t>same neuron like in 61 and 59</t>
  </si>
  <si>
    <t>same as 77 in 7/12/2016 and 7/13/2016</t>
  </si>
  <si>
    <t>same as 77 in 7/12/2016 and 7/13/2016 and 7/14/2016</t>
  </si>
  <si>
    <t>same as 56 in 7/18/2016</t>
  </si>
  <si>
    <t>B</t>
  </si>
  <si>
    <t>dbwToSkipAccSZPost</t>
  </si>
  <si>
    <t>n_cellula</t>
  </si>
  <si>
    <t>same as 120 in 30/6/2016</t>
  </si>
  <si>
    <t>same neuron like in 59a</t>
  </si>
  <si>
    <t>I neuroni di questo tipo potrebbero essere usati per vedere se modulano rispetto ad un ipotetico diverso behavior.</t>
  </si>
  <si>
    <t>same as 7/11/2016</t>
  </si>
  <si>
    <t>same as 77 in 7/11/2016 and 7/12/2016</t>
  </si>
  <si>
    <t>same as 30/5/2016</t>
  </si>
  <si>
    <t>same as 56a 7/6/2016</t>
  </si>
  <si>
    <t>same as 56a 7/6/2016 and 7/7/2016</t>
  </si>
  <si>
    <t>same as 56a 7/6/2016 and 7/7/2016 and 7/8/2016</t>
  </si>
  <si>
    <t>same as 56a 7/6/2016 and 7/7/2016 and 7/8/2016 and 7/9/2016</t>
  </si>
  <si>
    <t>same neuron as 66 a same day</t>
  </si>
  <si>
    <t>same as 56a starting from 7/6/2016</t>
  </si>
  <si>
    <t>same as 72 a 7/21/2016</t>
  </si>
  <si>
    <t>same as 101a 7/21/2016</t>
  </si>
  <si>
    <t>Le caselle gialle indicano i neuroni che sono uguali o ad altri neuroni registrati nei giorni precedenti o ad altri neuroni registrati lo stesso giorno ma da elettrodi diversi!</t>
  </si>
  <si>
    <t>CHANNEL</t>
  </si>
  <si>
    <t xml:space="preserve">array </t>
  </si>
  <si>
    <t>VOTE_ISOLATION</t>
  </si>
  <si>
    <t>CELLULE COMUNI</t>
  </si>
  <si>
    <t>seam_310516-sort.nev</t>
  </si>
  <si>
    <t>seam_300516-sort.nev</t>
  </si>
  <si>
    <t>seam_300616-sort.nev</t>
  </si>
  <si>
    <t>seam_010716-sort.nev</t>
  </si>
  <si>
    <t>seam_020716-sort.nev</t>
  </si>
  <si>
    <t>seam_040716-sort.nev</t>
  </si>
  <si>
    <t>seam_050716-sort.nev</t>
  </si>
  <si>
    <t>seam_060716-sort.nev</t>
  </si>
  <si>
    <t>seam_070716-sort.nev</t>
  </si>
  <si>
    <t>seam_080716-sort.nev</t>
  </si>
  <si>
    <t>seam_090716-sort.nev</t>
  </si>
  <si>
    <t>seam_110716-sort.nev</t>
  </si>
  <si>
    <t>seam_120716-sort.nev</t>
  </si>
  <si>
    <t>seam_130716-sort.nev</t>
  </si>
  <si>
    <t>seam_140716-sort.nev</t>
  </si>
  <si>
    <t>seam_150716-sort.nev</t>
  </si>
  <si>
    <t>seam_180716-sort.nev</t>
  </si>
  <si>
    <t>seam_190716-sort.nev</t>
  </si>
  <si>
    <t>seam_200716-sort.nev</t>
  </si>
  <si>
    <t>seam_210716-sort.nev</t>
  </si>
  <si>
    <t>seam_220716-sort.nev</t>
  </si>
  <si>
    <t>coord_x_eye_window</t>
  </si>
  <si>
    <t>coord_y_eye_window</t>
  </si>
  <si>
    <t>Eye_Window_size</t>
  </si>
  <si>
    <t>EYE_Monitoring</t>
  </si>
  <si>
    <t>RWD_SIZE</t>
  </si>
  <si>
    <t xml:space="preserve">Kg </t>
  </si>
  <si>
    <t>NR</t>
  </si>
  <si>
    <t>Ripple starts 2  min after Rex.</t>
  </si>
  <si>
    <t>Ogni tanto dorme</t>
  </si>
  <si>
    <t>Verso la fase finale dorme</t>
  </si>
  <si>
    <t>same as 56a 7/7/2016</t>
  </si>
  <si>
    <t>SESSION WITH JUMP! Since the jump happens at segment 15</t>
  </si>
  <si>
    <t xml:space="preserve">I have considered the cells until the jump happens. </t>
  </si>
  <si>
    <t>Jump on Ripple too early!</t>
  </si>
  <si>
    <t>SESSION REMOVED</t>
  </si>
  <si>
    <t>Le caselle verdi indicano le sessioni rimosse a causa di problemi tecnici di Ripple!</t>
  </si>
  <si>
    <t>same as 56a starting from 7/7/2016</t>
  </si>
  <si>
    <t>same as 7/7/2016</t>
  </si>
  <si>
    <t>same as 56a 7/7/2016 and 7/8/2016</t>
  </si>
  <si>
    <t>same as 56a 7/7/2016 and 7/8/2016 and 7/9/2016</t>
  </si>
  <si>
    <t>Ho tolto le sessioni da eliminare</t>
  </si>
  <si>
    <t>Ci sono solo le cellule diverse. Ho eliminato le comuni ma n_cellula rimane comparabile al file sorted finale</t>
  </si>
  <si>
    <t>Qui ci sono solo le sessioni con le cellule comuni. N_cellula rimane lo stesso di files_sorted_finale</t>
  </si>
  <si>
    <t>TRIAL_END_WORK</t>
  </si>
  <si>
    <t>dbwTobSkipAccSZPost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</si>
</sst>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1" fillId="0" borderId="0" xfId="0" applyFont="1"/>
    <xf numFmtId="1" fontId="0" fillId="0" borderId="0" xfId="0" applyNumberFormat="1"/>
    <xf numFmtId="1" fontId="0" fillId="3" borderId="0" xfId="0" applyNumberFormat="1" applyFill="1"/>
    <xf numFmtId="0" fontId="0" fillId="0" borderId="0" xfId="0" applyFill="1"/>
    <xf numFmtId="14" fontId="1" fillId="0" borderId="0" xfId="0" applyNumberFormat="1" applyFont="1"/>
    <xf numFmtId="14" fontId="2" fillId="0" borderId="0" xfId="0" applyNumberFormat="1" applyFont="1"/>
    <xf numFmtId="0" fontId="1" fillId="4" borderId="0" xfId="0" applyFont="1" applyFill="1"/>
    <xf numFmtId="14" fontId="1" fillId="4" borderId="0" xfId="0" applyNumberFormat="1" applyFont="1" applyFill="1"/>
    <xf numFmtId="0" fontId="0" fillId="4" borderId="0" xfId="0" applyFont="1" applyFill="1"/>
    <xf numFmtId="0" fontId="0" fillId="4" borderId="0" xfId="0" applyFill="1"/>
    <xf numFmtId="14" fontId="0" fillId="4" borderId="0" xfId="0" applyNumberFormat="1" applyFill="1"/>
    <xf numFmtId="14" fontId="0" fillId="0" borderId="0" xfId="0" applyNumberFormat="1" applyFill="1"/>
    <xf numFmtId="0" fontId="1" fillId="0" borderId="0" xfId="0" applyFont="1" applyFill="1"/>
    <xf numFmtId="0" fontId="0" fillId="0" borderId="0" xfId="0" applyFont="1" applyFill="1"/>
    <xf numFmtId="14" fontId="0" fillId="4" borderId="0" xfId="0" applyNumberFormat="1" applyFont="1" applyFill="1"/>
    <xf numFmtId="14" fontId="1" fillId="0" borderId="0" xfId="0" applyNumberFormat="1" applyFont="1" applyFill="1"/>
    <xf numFmtId="0" fontId="0" fillId="5" borderId="0" xfId="0" applyFill="1"/>
    <xf numFmtId="1" fontId="0" fillId="2" borderId="0" xfId="0" applyNumberFormat="1" applyFill="1"/>
    <xf numFmtId="1" fontId="0" fillId="6" borderId="0" xfId="0" applyNumberFormat="1" applyFill="1"/>
    <xf numFmtId="0" fontId="0" fillId="6" borderId="0" xfId="0" applyFill="1"/>
    <xf numFmtId="1" fontId="0" fillId="7" borderId="0" xfId="0" applyNumberFormat="1" applyFill="1"/>
    <xf numFmtId="0" fontId="0" fillId="7" borderId="0" xfId="0" applyFill="1"/>
    <xf numFmtId="1" fontId="0" fillId="8" borderId="0" xfId="0" applyNumberFormat="1" applyFill="1"/>
    <xf numFmtId="0" fontId="0" fillId="9" borderId="0" xfId="0" applyFill="1"/>
    <xf numFmtId="0" fontId="0" fillId="3" borderId="0" xfId="0" applyFill="1"/>
    <xf numFmtId="1" fontId="0" fillId="9" borderId="0" xfId="0" applyNumberFormat="1" applyFill="1"/>
    <xf numFmtId="0" fontId="0" fillId="10" borderId="0" xfId="0" applyFill="1"/>
    <xf numFmtId="1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"/>
  <sheetViews>
    <sheetView topLeftCell="A106" workbookViewId="0">
      <selection activeCell="C104" sqref="C104"/>
    </sheetView>
  </sheetViews>
  <sheetFormatPr defaultRowHeight="14.4" x14ac:dyDescent="0.3"/>
  <cols>
    <col min="2" max="2" width="23.77734375" customWidth="1"/>
    <col min="3" max="3" width="19.21875" bestFit="1" customWidth="1"/>
    <col min="4" max="4" width="9.5546875" bestFit="1" customWidth="1"/>
    <col min="10" max="10" width="54.5546875" bestFit="1" customWidth="1"/>
  </cols>
  <sheetData>
    <row r="1" spans="1:19" x14ac:dyDescent="0.3">
      <c r="A1" s="4" t="s">
        <v>0</v>
      </c>
      <c r="B1" s="4" t="s">
        <v>9</v>
      </c>
      <c r="C1" s="4" t="s">
        <v>11</v>
      </c>
      <c r="D1" s="8" t="s">
        <v>4</v>
      </c>
      <c r="E1" s="4" t="s">
        <v>39</v>
      </c>
      <c r="F1" s="4" t="s">
        <v>38</v>
      </c>
      <c r="G1" s="4" t="s">
        <v>1</v>
      </c>
      <c r="H1" s="4" t="s">
        <v>40</v>
      </c>
      <c r="I1" s="4" t="s">
        <v>22</v>
      </c>
      <c r="J1" s="4" t="s">
        <v>14</v>
      </c>
      <c r="K1" s="4" t="s">
        <v>3</v>
      </c>
      <c r="L1" s="4" t="s">
        <v>2</v>
      </c>
      <c r="M1" s="4" t="s">
        <v>66</v>
      </c>
      <c r="N1" s="4" t="s">
        <v>63</v>
      </c>
      <c r="O1" s="4" t="s">
        <v>64</v>
      </c>
      <c r="P1" s="4" t="s">
        <v>65</v>
      </c>
      <c r="Q1" s="4" t="s">
        <v>67</v>
      </c>
      <c r="R1" s="4" t="s">
        <v>68</v>
      </c>
      <c r="S1" s="4" t="s">
        <v>14</v>
      </c>
    </row>
    <row r="2" spans="1:19" x14ac:dyDescent="0.3">
      <c r="A2">
        <v>1</v>
      </c>
      <c r="B2" t="s">
        <v>43</v>
      </c>
      <c r="C2" t="s">
        <v>87</v>
      </c>
      <c r="D2" s="1">
        <v>42520</v>
      </c>
      <c r="E2" t="s">
        <v>13</v>
      </c>
      <c r="F2">
        <v>17</v>
      </c>
      <c r="G2" t="s">
        <v>7</v>
      </c>
      <c r="H2">
        <v>3</v>
      </c>
      <c r="I2">
        <v>1</v>
      </c>
      <c r="K2">
        <v>1</v>
      </c>
      <c r="L2">
        <v>774</v>
      </c>
      <c r="M2" s="4" t="s">
        <v>6</v>
      </c>
      <c r="Q2">
        <v>80</v>
      </c>
      <c r="R2" t="s">
        <v>69</v>
      </c>
    </row>
    <row r="3" spans="1:19" x14ac:dyDescent="0.3">
      <c r="E3" t="s">
        <v>13</v>
      </c>
      <c r="F3">
        <v>52</v>
      </c>
      <c r="G3" t="s">
        <v>7</v>
      </c>
      <c r="H3">
        <v>2.5</v>
      </c>
      <c r="I3">
        <v>2</v>
      </c>
      <c r="K3">
        <v>1</v>
      </c>
      <c r="L3">
        <v>774</v>
      </c>
    </row>
    <row r="4" spans="1:19" x14ac:dyDescent="0.3">
      <c r="E4" t="s">
        <v>13</v>
      </c>
      <c r="F4">
        <v>75</v>
      </c>
      <c r="G4" t="s">
        <v>7</v>
      </c>
      <c r="H4">
        <v>3</v>
      </c>
      <c r="I4">
        <v>3</v>
      </c>
      <c r="K4">
        <v>1</v>
      </c>
      <c r="L4">
        <v>774</v>
      </c>
    </row>
    <row r="5" spans="1:19" x14ac:dyDescent="0.3">
      <c r="E5" t="s">
        <v>13</v>
      </c>
      <c r="F5">
        <v>115</v>
      </c>
      <c r="G5" t="s">
        <v>7</v>
      </c>
      <c r="H5">
        <v>2.5</v>
      </c>
      <c r="I5">
        <v>4</v>
      </c>
      <c r="K5">
        <v>1</v>
      </c>
      <c r="L5">
        <v>135</v>
      </c>
    </row>
    <row r="6" spans="1:19" x14ac:dyDescent="0.3">
      <c r="E6" t="s">
        <v>13</v>
      </c>
      <c r="F6">
        <v>115</v>
      </c>
      <c r="G6" t="s">
        <v>8</v>
      </c>
      <c r="H6">
        <v>2.5</v>
      </c>
      <c r="I6">
        <v>5</v>
      </c>
      <c r="K6">
        <v>109</v>
      </c>
      <c r="L6">
        <v>774</v>
      </c>
    </row>
    <row r="7" spans="1:19" x14ac:dyDescent="0.3">
      <c r="E7" t="s">
        <v>20</v>
      </c>
      <c r="F7">
        <v>132</v>
      </c>
      <c r="G7" t="s">
        <v>7</v>
      </c>
      <c r="H7">
        <v>2</v>
      </c>
      <c r="I7">
        <v>6</v>
      </c>
      <c r="K7">
        <v>1</v>
      </c>
      <c r="L7">
        <v>774</v>
      </c>
    </row>
    <row r="8" spans="1:19" x14ac:dyDescent="0.3">
      <c r="E8" t="s">
        <v>20</v>
      </c>
      <c r="F8">
        <v>150</v>
      </c>
      <c r="G8" t="s">
        <v>7</v>
      </c>
      <c r="H8">
        <v>2</v>
      </c>
      <c r="I8">
        <v>7</v>
      </c>
      <c r="K8">
        <v>1</v>
      </c>
      <c r="L8">
        <v>774</v>
      </c>
    </row>
    <row r="9" spans="1:19" x14ac:dyDescent="0.3">
      <c r="E9" t="s">
        <v>20</v>
      </c>
      <c r="F9">
        <v>190</v>
      </c>
      <c r="G9" t="s">
        <v>7</v>
      </c>
      <c r="H9">
        <v>2</v>
      </c>
      <c r="I9">
        <v>8</v>
      </c>
      <c r="K9">
        <v>1</v>
      </c>
      <c r="L9">
        <v>774</v>
      </c>
    </row>
    <row r="11" spans="1:19" x14ac:dyDescent="0.3">
      <c r="A11">
        <v>2</v>
      </c>
      <c r="B11" t="s">
        <v>42</v>
      </c>
      <c r="C11" t="s">
        <v>87</v>
      </c>
      <c r="D11" s="1">
        <v>42521</v>
      </c>
      <c r="E11" t="s">
        <v>13</v>
      </c>
      <c r="F11">
        <v>17</v>
      </c>
      <c r="G11" t="s">
        <v>7</v>
      </c>
      <c r="H11">
        <v>3</v>
      </c>
      <c r="I11">
        <v>9</v>
      </c>
      <c r="K11">
        <v>1</v>
      </c>
      <c r="L11">
        <v>573</v>
      </c>
      <c r="M11" s="4" t="s">
        <v>12</v>
      </c>
      <c r="N11">
        <v>90</v>
      </c>
      <c r="O11">
        <v>40</v>
      </c>
      <c r="P11">
        <v>200</v>
      </c>
      <c r="Q11">
        <v>80</v>
      </c>
      <c r="R11">
        <v>10.9</v>
      </c>
    </row>
    <row r="12" spans="1:19" x14ac:dyDescent="0.3">
      <c r="E12" t="s">
        <v>13</v>
      </c>
      <c r="F12">
        <v>50</v>
      </c>
      <c r="G12" t="s">
        <v>8</v>
      </c>
      <c r="H12">
        <v>3</v>
      </c>
      <c r="I12">
        <v>10</v>
      </c>
      <c r="K12">
        <v>5</v>
      </c>
      <c r="L12">
        <v>573</v>
      </c>
    </row>
    <row r="13" spans="1:19" x14ac:dyDescent="0.3">
      <c r="E13" t="s">
        <v>13</v>
      </c>
      <c r="F13">
        <v>72</v>
      </c>
      <c r="G13" t="s">
        <v>7</v>
      </c>
      <c r="H13">
        <v>3</v>
      </c>
      <c r="I13">
        <v>11</v>
      </c>
      <c r="K13">
        <v>1</v>
      </c>
      <c r="L13">
        <v>573</v>
      </c>
    </row>
    <row r="14" spans="1:19" x14ac:dyDescent="0.3">
      <c r="E14" t="s">
        <v>13</v>
      </c>
      <c r="F14" s="2">
        <v>75</v>
      </c>
      <c r="G14" s="2" t="s">
        <v>7</v>
      </c>
      <c r="H14" s="2">
        <v>2.5</v>
      </c>
      <c r="I14" s="2">
        <v>12</v>
      </c>
      <c r="J14" s="2" t="s">
        <v>28</v>
      </c>
      <c r="K14" s="2">
        <v>1</v>
      </c>
      <c r="L14" s="2">
        <v>573</v>
      </c>
    </row>
    <row r="15" spans="1:19" x14ac:dyDescent="0.3">
      <c r="E15" t="s">
        <v>13</v>
      </c>
      <c r="F15">
        <v>97</v>
      </c>
      <c r="G15" t="s">
        <v>7</v>
      </c>
      <c r="H15">
        <v>2</v>
      </c>
      <c r="I15">
        <v>13</v>
      </c>
      <c r="K15">
        <v>7</v>
      </c>
      <c r="L15">
        <v>551</v>
      </c>
    </row>
    <row r="16" spans="1:19" x14ac:dyDescent="0.3">
      <c r="E16" t="s">
        <v>13</v>
      </c>
      <c r="F16">
        <v>115</v>
      </c>
      <c r="G16" t="s">
        <v>7</v>
      </c>
      <c r="H16">
        <v>2</v>
      </c>
      <c r="I16">
        <v>14</v>
      </c>
      <c r="K16">
        <v>157</v>
      </c>
      <c r="L16">
        <v>573</v>
      </c>
    </row>
    <row r="17" spans="1:19" x14ac:dyDescent="0.3">
      <c r="E17" t="s">
        <v>20</v>
      </c>
      <c r="F17">
        <v>132</v>
      </c>
      <c r="G17" t="s">
        <v>7</v>
      </c>
      <c r="H17">
        <v>2.5</v>
      </c>
      <c r="I17">
        <v>15</v>
      </c>
      <c r="K17">
        <v>1</v>
      </c>
      <c r="L17">
        <v>573</v>
      </c>
    </row>
    <row r="18" spans="1:19" x14ac:dyDescent="0.3">
      <c r="E18" t="s">
        <v>20</v>
      </c>
      <c r="F18">
        <v>150</v>
      </c>
      <c r="G18" t="s">
        <v>7</v>
      </c>
      <c r="H18">
        <v>2.5</v>
      </c>
      <c r="I18">
        <v>16</v>
      </c>
      <c r="K18">
        <v>1</v>
      </c>
      <c r="L18">
        <v>573</v>
      </c>
    </row>
    <row r="19" spans="1:19" x14ac:dyDescent="0.3">
      <c r="E19" t="s">
        <v>20</v>
      </c>
      <c r="F19">
        <v>173</v>
      </c>
      <c r="G19" t="s">
        <v>7</v>
      </c>
      <c r="H19">
        <v>2</v>
      </c>
      <c r="I19">
        <v>17</v>
      </c>
      <c r="K19">
        <v>314</v>
      </c>
      <c r="L19">
        <v>573</v>
      </c>
    </row>
    <row r="20" spans="1:19" x14ac:dyDescent="0.3">
      <c r="E20" t="s">
        <v>20</v>
      </c>
      <c r="F20">
        <v>190</v>
      </c>
      <c r="G20" t="s">
        <v>8</v>
      </c>
      <c r="H20">
        <v>2.5</v>
      </c>
      <c r="I20">
        <v>18</v>
      </c>
      <c r="K20">
        <v>1</v>
      </c>
      <c r="L20">
        <v>573</v>
      </c>
    </row>
    <row r="22" spans="1:19" x14ac:dyDescent="0.3">
      <c r="A22" s="13">
        <v>3</v>
      </c>
      <c r="B22" s="13" t="s">
        <v>44</v>
      </c>
      <c r="C22" t="s">
        <v>87</v>
      </c>
      <c r="D22" s="14">
        <v>42551</v>
      </c>
      <c r="E22" s="13" t="s">
        <v>13</v>
      </c>
      <c r="F22" s="13">
        <v>5</v>
      </c>
      <c r="G22" s="13" t="s">
        <v>7</v>
      </c>
      <c r="H22" s="13">
        <v>2.5</v>
      </c>
      <c r="I22" s="13">
        <v>19</v>
      </c>
      <c r="K22" s="13">
        <v>29</v>
      </c>
      <c r="L22" s="13">
        <v>394</v>
      </c>
      <c r="M22" s="10" t="s">
        <v>6</v>
      </c>
      <c r="Q22" s="13">
        <v>80</v>
      </c>
      <c r="R22" s="13">
        <v>10.55</v>
      </c>
      <c r="S22" s="10" t="s">
        <v>77</v>
      </c>
    </row>
    <row r="23" spans="1:19" x14ac:dyDescent="0.3">
      <c r="A23" s="10" t="s">
        <v>76</v>
      </c>
      <c r="B23" s="10"/>
      <c r="C23" s="11"/>
      <c r="D23" s="10"/>
      <c r="E23" s="13" t="s">
        <v>13</v>
      </c>
      <c r="F23" s="13">
        <v>120</v>
      </c>
      <c r="G23" s="13" t="s">
        <v>7</v>
      </c>
      <c r="H23" s="13">
        <v>2</v>
      </c>
      <c r="I23" s="13">
        <v>20</v>
      </c>
      <c r="K23" s="13">
        <v>1</v>
      </c>
      <c r="L23" s="13">
        <v>394</v>
      </c>
      <c r="M23" s="10"/>
    </row>
    <row r="25" spans="1:19" x14ac:dyDescent="0.3">
      <c r="A25">
        <v>4</v>
      </c>
      <c r="B25" t="s">
        <v>45</v>
      </c>
      <c r="C25" t="s">
        <v>87</v>
      </c>
      <c r="D25" s="1">
        <v>42552</v>
      </c>
      <c r="E25" t="s">
        <v>13</v>
      </c>
      <c r="F25">
        <v>5</v>
      </c>
      <c r="G25" t="s">
        <v>7</v>
      </c>
      <c r="H25">
        <v>2</v>
      </c>
      <c r="I25">
        <v>21</v>
      </c>
      <c r="K25">
        <v>1</v>
      </c>
      <c r="L25">
        <v>490</v>
      </c>
      <c r="M25" s="4" t="s">
        <v>6</v>
      </c>
      <c r="Q25">
        <v>80</v>
      </c>
      <c r="R25">
        <v>10.6</v>
      </c>
    </row>
    <row r="26" spans="1:19" x14ac:dyDescent="0.3">
      <c r="E26" t="s">
        <v>13</v>
      </c>
      <c r="F26">
        <v>11</v>
      </c>
      <c r="G26" t="s">
        <v>7</v>
      </c>
      <c r="H26">
        <v>3</v>
      </c>
      <c r="I26">
        <v>22</v>
      </c>
      <c r="K26">
        <v>1</v>
      </c>
      <c r="L26">
        <v>490</v>
      </c>
    </row>
    <row r="27" spans="1:19" x14ac:dyDescent="0.3">
      <c r="E27" t="s">
        <v>13</v>
      </c>
      <c r="F27">
        <v>13</v>
      </c>
      <c r="G27" t="s">
        <v>7</v>
      </c>
      <c r="H27">
        <v>3</v>
      </c>
      <c r="I27">
        <v>23</v>
      </c>
      <c r="K27">
        <v>1</v>
      </c>
      <c r="L27">
        <v>490</v>
      </c>
    </row>
    <row r="28" spans="1:19" x14ac:dyDescent="0.3">
      <c r="E28" t="s">
        <v>13</v>
      </c>
      <c r="F28">
        <v>43</v>
      </c>
      <c r="G28" t="s">
        <v>7</v>
      </c>
      <c r="H28">
        <v>2</v>
      </c>
      <c r="I28">
        <v>24</v>
      </c>
      <c r="K28">
        <v>1</v>
      </c>
      <c r="L28">
        <v>490</v>
      </c>
    </row>
    <row r="29" spans="1:19" x14ac:dyDescent="0.3">
      <c r="E29" t="s">
        <v>13</v>
      </c>
      <c r="F29">
        <v>59</v>
      </c>
      <c r="G29" t="s">
        <v>7</v>
      </c>
      <c r="H29">
        <v>2</v>
      </c>
      <c r="I29">
        <v>25</v>
      </c>
      <c r="K29">
        <v>1</v>
      </c>
      <c r="L29">
        <v>475</v>
      </c>
    </row>
    <row r="30" spans="1:19" x14ac:dyDescent="0.3">
      <c r="E30" t="s">
        <v>13</v>
      </c>
      <c r="F30" s="2">
        <v>61</v>
      </c>
      <c r="G30" s="2" t="s">
        <v>7</v>
      </c>
      <c r="H30" s="2">
        <v>2</v>
      </c>
      <c r="I30" s="2">
        <f>(I29+1)</f>
        <v>26</v>
      </c>
      <c r="J30" s="2" t="s">
        <v>15</v>
      </c>
      <c r="K30" s="2">
        <v>1</v>
      </c>
      <c r="L30" s="2">
        <v>490</v>
      </c>
    </row>
    <row r="31" spans="1:19" x14ac:dyDescent="0.3">
      <c r="E31" t="s">
        <v>13</v>
      </c>
      <c r="F31" s="2">
        <v>63</v>
      </c>
      <c r="G31" s="2" t="s">
        <v>7</v>
      </c>
      <c r="H31" s="2">
        <v>2</v>
      </c>
      <c r="I31" s="2">
        <f t="shared" ref="I31:I35" si="0">(I30+1)</f>
        <v>27</v>
      </c>
      <c r="J31" s="2" t="s">
        <v>16</v>
      </c>
      <c r="K31" s="2">
        <v>1</v>
      </c>
      <c r="L31" s="2">
        <v>437</v>
      </c>
    </row>
    <row r="32" spans="1:19" x14ac:dyDescent="0.3">
      <c r="E32" t="s">
        <v>13</v>
      </c>
      <c r="F32">
        <v>74</v>
      </c>
      <c r="G32" t="s">
        <v>7</v>
      </c>
      <c r="H32">
        <v>2.5</v>
      </c>
      <c r="I32">
        <f t="shared" si="0"/>
        <v>28</v>
      </c>
      <c r="K32">
        <v>1</v>
      </c>
      <c r="L32">
        <v>490</v>
      </c>
    </row>
    <row r="33" spans="1:19" x14ac:dyDescent="0.3">
      <c r="E33" t="s">
        <v>13</v>
      </c>
      <c r="F33">
        <v>96</v>
      </c>
      <c r="G33" t="s">
        <v>7</v>
      </c>
      <c r="H33">
        <v>2</v>
      </c>
      <c r="I33">
        <f t="shared" si="0"/>
        <v>29</v>
      </c>
      <c r="K33">
        <v>1</v>
      </c>
      <c r="L33">
        <v>490</v>
      </c>
    </row>
    <row r="34" spans="1:19" x14ac:dyDescent="0.3">
      <c r="E34" t="s">
        <v>13</v>
      </c>
      <c r="F34">
        <v>96</v>
      </c>
      <c r="G34" t="s">
        <v>8</v>
      </c>
      <c r="H34">
        <v>3</v>
      </c>
      <c r="I34">
        <f t="shared" si="0"/>
        <v>30</v>
      </c>
      <c r="K34">
        <v>1</v>
      </c>
      <c r="L34">
        <v>490</v>
      </c>
    </row>
    <row r="35" spans="1:19" x14ac:dyDescent="0.3">
      <c r="E35" t="s">
        <v>20</v>
      </c>
      <c r="F35">
        <v>151</v>
      </c>
      <c r="G35" t="s">
        <v>7</v>
      </c>
      <c r="H35">
        <v>2</v>
      </c>
      <c r="I35">
        <f t="shared" si="0"/>
        <v>31</v>
      </c>
      <c r="K35">
        <v>1</v>
      </c>
      <c r="L35">
        <v>490</v>
      </c>
    </row>
    <row r="37" spans="1:19" x14ac:dyDescent="0.3">
      <c r="A37" s="12">
        <v>5</v>
      </c>
      <c r="B37" s="12" t="s">
        <v>46</v>
      </c>
      <c r="C37" t="s">
        <v>87</v>
      </c>
      <c r="D37" s="18">
        <v>42553</v>
      </c>
      <c r="E37" s="12" t="s">
        <v>13</v>
      </c>
      <c r="F37" s="12">
        <v>5</v>
      </c>
      <c r="G37" s="12" t="s">
        <v>7</v>
      </c>
      <c r="H37" s="12">
        <v>2</v>
      </c>
      <c r="I37" s="12">
        <f>(I35+1)</f>
        <v>32</v>
      </c>
      <c r="K37" s="12">
        <v>267</v>
      </c>
      <c r="L37" s="12">
        <v>413</v>
      </c>
      <c r="M37" s="12" t="s">
        <v>6</v>
      </c>
      <c r="Q37" s="12">
        <v>80</v>
      </c>
      <c r="R37" s="12" t="s">
        <v>69</v>
      </c>
      <c r="S37" s="10" t="s">
        <v>77</v>
      </c>
    </row>
    <row r="38" spans="1:19" x14ac:dyDescent="0.3">
      <c r="A38" s="10" t="s">
        <v>76</v>
      </c>
      <c r="B38" s="10"/>
      <c r="E38" s="12" t="s">
        <v>13</v>
      </c>
      <c r="F38" s="12">
        <v>5</v>
      </c>
      <c r="G38" s="12" t="s">
        <v>8</v>
      </c>
      <c r="H38" s="12">
        <v>2</v>
      </c>
      <c r="I38" s="12">
        <f>(I37+1)</f>
        <v>33</v>
      </c>
      <c r="K38" s="12">
        <v>51</v>
      </c>
      <c r="L38" s="12">
        <v>265</v>
      </c>
    </row>
    <row r="39" spans="1:19" x14ac:dyDescent="0.3">
      <c r="D39" s="18"/>
      <c r="E39" s="12" t="s">
        <v>13</v>
      </c>
      <c r="F39" s="12">
        <v>59</v>
      </c>
      <c r="G39" s="12" t="s">
        <v>7</v>
      </c>
      <c r="H39" s="12">
        <v>2.5</v>
      </c>
      <c r="I39" s="12">
        <f t="shared" ref="I39:I45" si="1">(I38+1)</f>
        <v>34</v>
      </c>
      <c r="K39" s="12">
        <v>1</v>
      </c>
      <c r="L39" s="12">
        <v>413</v>
      </c>
    </row>
    <row r="40" spans="1:19" x14ac:dyDescent="0.3">
      <c r="D40" s="18"/>
      <c r="E40" s="12" t="s">
        <v>13</v>
      </c>
      <c r="F40" s="12">
        <v>59</v>
      </c>
      <c r="G40" s="12" t="s">
        <v>8</v>
      </c>
      <c r="H40" s="12">
        <v>2</v>
      </c>
      <c r="I40" s="12">
        <f t="shared" si="1"/>
        <v>35</v>
      </c>
      <c r="K40" s="12">
        <v>1</v>
      </c>
      <c r="L40" s="12">
        <v>413</v>
      </c>
    </row>
    <row r="41" spans="1:19" x14ac:dyDescent="0.3">
      <c r="D41" s="18"/>
      <c r="E41" s="12" t="s">
        <v>13</v>
      </c>
      <c r="F41" s="12">
        <v>61</v>
      </c>
      <c r="G41" s="12" t="s">
        <v>7</v>
      </c>
      <c r="H41" s="12">
        <v>2.5</v>
      </c>
      <c r="I41" s="12">
        <f t="shared" si="1"/>
        <v>36</v>
      </c>
      <c r="J41" s="12" t="s">
        <v>24</v>
      </c>
      <c r="K41" s="12">
        <v>1</v>
      </c>
      <c r="L41" s="12">
        <v>413</v>
      </c>
    </row>
    <row r="42" spans="1:19" x14ac:dyDescent="0.3">
      <c r="D42" s="18"/>
      <c r="E42" s="12" t="s">
        <v>13</v>
      </c>
      <c r="F42" s="12">
        <v>61</v>
      </c>
      <c r="G42" s="12" t="s">
        <v>8</v>
      </c>
      <c r="H42" s="12">
        <v>2</v>
      </c>
      <c r="I42" s="12">
        <f t="shared" si="1"/>
        <v>37</v>
      </c>
      <c r="K42" s="12">
        <v>1</v>
      </c>
      <c r="L42" s="12">
        <v>413</v>
      </c>
    </row>
    <row r="43" spans="1:19" x14ac:dyDescent="0.3">
      <c r="D43" s="18"/>
      <c r="E43" s="12" t="s">
        <v>13</v>
      </c>
      <c r="F43" s="12">
        <v>63</v>
      </c>
      <c r="G43" s="12" t="s">
        <v>7</v>
      </c>
      <c r="H43" s="12">
        <v>2.5</v>
      </c>
      <c r="I43" s="12">
        <f t="shared" si="1"/>
        <v>38</v>
      </c>
      <c r="J43" s="12" t="s">
        <v>16</v>
      </c>
      <c r="K43" s="12">
        <v>1</v>
      </c>
      <c r="L43" s="12">
        <v>413</v>
      </c>
    </row>
    <row r="44" spans="1:19" x14ac:dyDescent="0.3">
      <c r="D44" s="18"/>
      <c r="E44" s="12" t="s">
        <v>13</v>
      </c>
      <c r="F44" s="12">
        <v>63</v>
      </c>
      <c r="G44" s="12" t="s">
        <v>8</v>
      </c>
      <c r="H44" s="12">
        <v>2</v>
      </c>
      <c r="I44" s="12">
        <f t="shared" si="1"/>
        <v>39</v>
      </c>
      <c r="K44" s="12">
        <v>1</v>
      </c>
      <c r="L44" s="12">
        <v>413</v>
      </c>
    </row>
    <row r="45" spans="1:19" x14ac:dyDescent="0.3">
      <c r="D45" s="18"/>
      <c r="E45" s="12" t="s">
        <v>13</v>
      </c>
      <c r="F45" s="12">
        <v>120</v>
      </c>
      <c r="G45" s="12" t="s">
        <v>7</v>
      </c>
      <c r="H45" s="12">
        <v>2.5</v>
      </c>
      <c r="I45" s="12">
        <f t="shared" si="1"/>
        <v>40</v>
      </c>
      <c r="J45" s="12" t="s">
        <v>23</v>
      </c>
      <c r="K45" s="12">
        <v>1</v>
      </c>
      <c r="L45" s="12">
        <v>413</v>
      </c>
    </row>
    <row r="47" spans="1:19" x14ac:dyDescent="0.3">
      <c r="A47">
        <v>6</v>
      </c>
      <c r="B47" t="s">
        <v>47</v>
      </c>
      <c r="C47" t="s">
        <v>87</v>
      </c>
      <c r="D47" s="1">
        <v>42555</v>
      </c>
      <c r="E47" t="s">
        <v>13</v>
      </c>
      <c r="F47">
        <v>60</v>
      </c>
      <c r="G47" t="s">
        <v>7</v>
      </c>
      <c r="H47">
        <v>2</v>
      </c>
      <c r="I47">
        <v>41</v>
      </c>
      <c r="K47">
        <v>1</v>
      </c>
      <c r="L47">
        <v>180</v>
      </c>
      <c r="M47" s="4" t="s">
        <v>6</v>
      </c>
      <c r="Q47">
        <v>80</v>
      </c>
      <c r="R47">
        <v>10.6</v>
      </c>
    </row>
    <row r="48" spans="1:19" x14ac:dyDescent="0.3">
      <c r="E48" t="s">
        <v>13</v>
      </c>
      <c r="F48">
        <v>84</v>
      </c>
      <c r="G48" t="s">
        <v>7</v>
      </c>
      <c r="H48">
        <v>2.5</v>
      </c>
      <c r="I48">
        <f>(I47+1)</f>
        <v>42</v>
      </c>
      <c r="K48">
        <v>1</v>
      </c>
      <c r="L48" s="17">
        <v>336</v>
      </c>
    </row>
    <row r="49" spans="1:20" x14ac:dyDescent="0.3">
      <c r="E49" t="s">
        <v>13</v>
      </c>
      <c r="F49">
        <v>111</v>
      </c>
      <c r="G49" t="s">
        <v>7</v>
      </c>
      <c r="H49">
        <v>2</v>
      </c>
      <c r="I49">
        <f t="shared" ref="I49:I50" si="2">(I48+1)</f>
        <v>43</v>
      </c>
      <c r="K49">
        <v>1</v>
      </c>
      <c r="L49">
        <v>551</v>
      </c>
    </row>
    <row r="50" spans="1:20" x14ac:dyDescent="0.3">
      <c r="E50" t="s">
        <v>13</v>
      </c>
      <c r="F50">
        <v>111</v>
      </c>
      <c r="G50" t="s">
        <v>8</v>
      </c>
      <c r="H50">
        <v>2</v>
      </c>
      <c r="I50">
        <f t="shared" si="2"/>
        <v>44</v>
      </c>
      <c r="K50">
        <v>1</v>
      </c>
      <c r="L50">
        <v>551</v>
      </c>
    </row>
    <row r="52" spans="1:20" x14ac:dyDescent="0.3">
      <c r="A52">
        <v>7</v>
      </c>
      <c r="B52" t="s">
        <v>48</v>
      </c>
      <c r="C52" t="s">
        <v>87</v>
      </c>
      <c r="D52" s="1">
        <v>42556</v>
      </c>
      <c r="E52" t="s">
        <v>13</v>
      </c>
      <c r="F52">
        <v>9</v>
      </c>
      <c r="G52" t="s">
        <v>7</v>
      </c>
      <c r="H52">
        <v>2.5</v>
      </c>
      <c r="I52">
        <v>45</v>
      </c>
      <c r="K52">
        <v>1</v>
      </c>
      <c r="L52">
        <v>499</v>
      </c>
      <c r="M52" s="4" t="s">
        <v>6</v>
      </c>
      <c r="Q52">
        <v>80</v>
      </c>
      <c r="R52">
        <v>10.6</v>
      </c>
      <c r="S52" t="s">
        <v>70</v>
      </c>
      <c r="T52" t="s">
        <v>71</v>
      </c>
    </row>
    <row r="53" spans="1:20" x14ac:dyDescent="0.3">
      <c r="E53" t="s">
        <v>13</v>
      </c>
      <c r="F53">
        <v>75</v>
      </c>
      <c r="G53" t="s">
        <v>7</v>
      </c>
      <c r="H53">
        <v>3.5</v>
      </c>
      <c r="I53">
        <v>46</v>
      </c>
      <c r="K53">
        <v>2</v>
      </c>
      <c r="L53">
        <v>499</v>
      </c>
    </row>
    <row r="54" spans="1:20" x14ac:dyDescent="0.3">
      <c r="E54" t="s">
        <v>13</v>
      </c>
      <c r="F54">
        <v>85</v>
      </c>
      <c r="G54" t="s">
        <v>7</v>
      </c>
      <c r="H54">
        <v>3</v>
      </c>
      <c r="I54">
        <v>47</v>
      </c>
      <c r="K54">
        <v>34</v>
      </c>
      <c r="L54">
        <v>499</v>
      </c>
    </row>
    <row r="56" spans="1:20" x14ac:dyDescent="0.3">
      <c r="A56" s="13">
        <v>8</v>
      </c>
      <c r="B56" s="13" t="s">
        <v>49</v>
      </c>
      <c r="C56" t="s">
        <v>87</v>
      </c>
      <c r="D56" s="14">
        <v>42557</v>
      </c>
      <c r="E56" s="13" t="s">
        <v>13</v>
      </c>
      <c r="F56" s="13">
        <v>5</v>
      </c>
      <c r="G56" s="13" t="s">
        <v>7</v>
      </c>
      <c r="H56" s="13">
        <v>2</v>
      </c>
      <c r="I56" s="13">
        <v>48</v>
      </c>
      <c r="K56" s="13">
        <v>1</v>
      </c>
      <c r="L56" s="13">
        <v>550</v>
      </c>
      <c r="M56" s="10" t="s">
        <v>12</v>
      </c>
      <c r="N56" s="13">
        <v>-140</v>
      </c>
      <c r="O56" s="13">
        <v>-140</v>
      </c>
      <c r="P56" s="13">
        <v>200</v>
      </c>
      <c r="Q56" s="13">
        <v>80</v>
      </c>
      <c r="R56" s="13">
        <v>10.65</v>
      </c>
      <c r="S56" s="10" t="s">
        <v>77</v>
      </c>
      <c r="T56" s="13" t="s">
        <v>71</v>
      </c>
    </row>
    <row r="57" spans="1:20" x14ac:dyDescent="0.3">
      <c r="A57" s="10" t="s">
        <v>76</v>
      </c>
      <c r="B57" s="10"/>
      <c r="C57" s="10"/>
      <c r="D57" s="10"/>
      <c r="E57" s="13" t="s">
        <v>13</v>
      </c>
      <c r="F57" s="13">
        <v>19</v>
      </c>
      <c r="G57" s="13" t="s">
        <v>7</v>
      </c>
      <c r="H57" s="13">
        <v>3</v>
      </c>
      <c r="I57" s="13">
        <v>49</v>
      </c>
      <c r="K57" s="13">
        <v>1</v>
      </c>
      <c r="L57" s="13">
        <v>550</v>
      </c>
      <c r="M57" s="10"/>
    </row>
    <row r="58" spans="1:20" x14ac:dyDescent="0.3">
      <c r="D58" s="14"/>
      <c r="E58" s="13" t="s">
        <v>13</v>
      </c>
      <c r="F58" s="13">
        <v>44</v>
      </c>
      <c r="G58" s="13" t="s">
        <v>7</v>
      </c>
      <c r="H58" s="13">
        <v>3</v>
      </c>
      <c r="I58" s="13">
        <v>50</v>
      </c>
      <c r="K58" s="13">
        <v>1</v>
      </c>
      <c r="L58" s="13">
        <v>550</v>
      </c>
      <c r="M58" s="10"/>
    </row>
    <row r="59" spans="1:20" x14ac:dyDescent="0.3">
      <c r="D59" s="14"/>
      <c r="E59" s="13" t="s">
        <v>13</v>
      </c>
      <c r="F59" s="13">
        <v>56</v>
      </c>
      <c r="G59" s="13" t="s">
        <v>7</v>
      </c>
      <c r="H59" s="13">
        <v>2.5</v>
      </c>
      <c r="I59" s="13">
        <v>51</v>
      </c>
      <c r="K59" s="13">
        <v>1</v>
      </c>
      <c r="L59" s="13">
        <v>550</v>
      </c>
      <c r="M59" s="10"/>
    </row>
    <row r="61" spans="1:20" x14ac:dyDescent="0.3">
      <c r="A61">
        <v>9</v>
      </c>
      <c r="B61" t="s">
        <v>50</v>
      </c>
      <c r="C61" t="s">
        <v>87</v>
      </c>
      <c r="D61" s="1">
        <v>42558</v>
      </c>
      <c r="E61" t="s">
        <v>13</v>
      </c>
      <c r="F61">
        <v>44</v>
      </c>
      <c r="G61" t="s">
        <v>7</v>
      </c>
      <c r="H61">
        <v>2</v>
      </c>
      <c r="I61">
        <v>52</v>
      </c>
      <c r="K61">
        <v>1</v>
      </c>
      <c r="L61">
        <v>574</v>
      </c>
      <c r="M61" s="4" t="s">
        <v>12</v>
      </c>
      <c r="N61">
        <v>-140</v>
      </c>
      <c r="O61">
        <v>-140</v>
      </c>
      <c r="P61">
        <v>200</v>
      </c>
      <c r="Q61">
        <v>70</v>
      </c>
      <c r="R61">
        <v>10.6</v>
      </c>
      <c r="T61" t="s">
        <v>72</v>
      </c>
    </row>
    <row r="62" spans="1:20" x14ac:dyDescent="0.3">
      <c r="E62" t="s">
        <v>13</v>
      </c>
      <c r="F62" s="2">
        <v>56</v>
      </c>
      <c r="G62" s="2" t="s">
        <v>7</v>
      </c>
      <c r="H62" s="2">
        <v>2</v>
      </c>
      <c r="I62" s="2">
        <v>53</v>
      </c>
      <c r="J62" s="2" t="s">
        <v>29</v>
      </c>
      <c r="K62" s="2">
        <v>1</v>
      </c>
      <c r="L62" s="2">
        <v>574</v>
      </c>
    </row>
    <row r="64" spans="1:20" x14ac:dyDescent="0.3">
      <c r="A64">
        <v>10</v>
      </c>
      <c r="B64" t="s">
        <v>51</v>
      </c>
      <c r="C64" t="s">
        <v>87</v>
      </c>
      <c r="D64" s="1">
        <v>42559</v>
      </c>
      <c r="E64" t="s">
        <v>13</v>
      </c>
      <c r="F64">
        <v>33</v>
      </c>
      <c r="G64" t="s">
        <v>7</v>
      </c>
      <c r="H64">
        <v>2.5</v>
      </c>
      <c r="I64">
        <v>54</v>
      </c>
      <c r="K64">
        <v>1</v>
      </c>
      <c r="L64">
        <v>599</v>
      </c>
      <c r="M64" s="4" t="s">
        <v>12</v>
      </c>
      <c r="N64">
        <v>-130</v>
      </c>
      <c r="O64">
        <v>-140</v>
      </c>
      <c r="P64">
        <v>200</v>
      </c>
      <c r="Q64">
        <v>70</v>
      </c>
      <c r="R64">
        <v>10.6</v>
      </c>
    </row>
    <row r="65" spans="1:18" x14ac:dyDescent="0.3">
      <c r="E65" t="s">
        <v>13</v>
      </c>
      <c r="F65">
        <v>33</v>
      </c>
      <c r="G65" t="s">
        <v>8</v>
      </c>
      <c r="H65">
        <v>2</v>
      </c>
      <c r="I65">
        <v>55</v>
      </c>
      <c r="K65">
        <v>1</v>
      </c>
      <c r="L65">
        <v>599</v>
      </c>
    </row>
    <row r="66" spans="1:18" x14ac:dyDescent="0.3">
      <c r="E66" t="s">
        <v>13</v>
      </c>
      <c r="F66" s="2">
        <v>56</v>
      </c>
      <c r="G66" s="2" t="s">
        <v>7</v>
      </c>
      <c r="H66" s="2">
        <v>2.5</v>
      </c>
      <c r="I66" s="2">
        <v>56</v>
      </c>
      <c r="J66" s="2" t="s">
        <v>30</v>
      </c>
      <c r="K66" s="2">
        <v>1</v>
      </c>
      <c r="L66" s="2">
        <v>599</v>
      </c>
    </row>
    <row r="67" spans="1:18" x14ac:dyDescent="0.3">
      <c r="E67" t="s">
        <v>13</v>
      </c>
      <c r="F67">
        <v>72</v>
      </c>
      <c r="G67" t="s">
        <v>7</v>
      </c>
      <c r="H67">
        <v>2</v>
      </c>
      <c r="I67">
        <v>57</v>
      </c>
      <c r="K67">
        <v>1</v>
      </c>
      <c r="L67">
        <v>599</v>
      </c>
    </row>
    <row r="68" spans="1:18" x14ac:dyDescent="0.3">
      <c r="E68" t="s">
        <v>20</v>
      </c>
      <c r="F68">
        <v>149</v>
      </c>
      <c r="G68" t="s">
        <v>7</v>
      </c>
      <c r="H68">
        <v>3.5</v>
      </c>
      <c r="I68">
        <v>58</v>
      </c>
      <c r="K68">
        <v>1</v>
      </c>
      <c r="L68">
        <v>599</v>
      </c>
    </row>
    <row r="70" spans="1:18" x14ac:dyDescent="0.3">
      <c r="A70" s="7">
        <v>11</v>
      </c>
      <c r="B70" s="7" t="s">
        <v>52</v>
      </c>
      <c r="C70" t="s">
        <v>87</v>
      </c>
      <c r="D70" s="15">
        <v>42560</v>
      </c>
      <c r="E70" s="7" t="s">
        <v>13</v>
      </c>
      <c r="F70" s="7">
        <v>33</v>
      </c>
      <c r="G70" s="7" t="s">
        <v>7</v>
      </c>
      <c r="H70" s="7">
        <v>2</v>
      </c>
      <c r="I70" s="7">
        <v>59</v>
      </c>
      <c r="K70" s="7">
        <v>1</v>
      </c>
      <c r="L70" s="7">
        <v>504</v>
      </c>
      <c r="M70" s="16" t="s">
        <v>12</v>
      </c>
      <c r="N70" s="7">
        <v>-130</v>
      </c>
      <c r="O70" s="7">
        <v>-140</v>
      </c>
      <c r="P70" s="7">
        <v>200</v>
      </c>
      <c r="Q70" s="7">
        <v>70</v>
      </c>
      <c r="R70" s="7">
        <v>10.65</v>
      </c>
    </row>
    <row r="71" spans="1:18" x14ac:dyDescent="0.3">
      <c r="A71" s="16" t="s">
        <v>74</v>
      </c>
      <c r="B71" s="16"/>
      <c r="C71" s="16"/>
      <c r="D71" s="19"/>
      <c r="E71" s="7" t="s">
        <v>13</v>
      </c>
      <c r="F71" s="7">
        <v>33</v>
      </c>
      <c r="G71" s="7" t="s">
        <v>8</v>
      </c>
      <c r="H71" s="7">
        <v>2.5</v>
      </c>
      <c r="I71" s="7">
        <v>60</v>
      </c>
      <c r="K71" s="7">
        <v>1</v>
      </c>
      <c r="L71" s="7">
        <v>504</v>
      </c>
      <c r="M71" s="16"/>
    </row>
    <row r="72" spans="1:18" x14ac:dyDescent="0.3">
      <c r="A72" s="16" t="s">
        <v>75</v>
      </c>
      <c r="B72" s="16"/>
      <c r="C72" s="16"/>
      <c r="D72" s="19"/>
      <c r="E72" s="7" t="s">
        <v>13</v>
      </c>
      <c r="F72" s="7">
        <v>36</v>
      </c>
      <c r="G72" s="7" t="s">
        <v>7</v>
      </c>
      <c r="H72" s="7">
        <v>3</v>
      </c>
      <c r="I72" s="7">
        <v>61</v>
      </c>
      <c r="K72" s="7">
        <v>1</v>
      </c>
      <c r="L72" s="7">
        <v>504</v>
      </c>
      <c r="M72" s="16"/>
    </row>
    <row r="73" spans="1:18" x14ac:dyDescent="0.3">
      <c r="D73" s="15"/>
      <c r="E73" s="7" t="s">
        <v>13</v>
      </c>
      <c r="F73" s="7">
        <v>44</v>
      </c>
      <c r="G73" s="7" t="s">
        <v>7</v>
      </c>
      <c r="H73" s="7">
        <v>3</v>
      </c>
      <c r="I73" s="7">
        <v>62</v>
      </c>
      <c r="K73" s="7">
        <v>1</v>
      </c>
      <c r="L73" s="7">
        <v>504</v>
      </c>
      <c r="M73" s="16"/>
    </row>
    <row r="74" spans="1:18" x14ac:dyDescent="0.3">
      <c r="D74" s="15"/>
      <c r="E74" s="7" t="s">
        <v>13</v>
      </c>
      <c r="F74" s="7">
        <v>44</v>
      </c>
      <c r="G74" s="7" t="s">
        <v>8</v>
      </c>
      <c r="H74" s="7">
        <v>3</v>
      </c>
      <c r="I74" s="7">
        <v>63</v>
      </c>
      <c r="K74" s="7">
        <v>1</v>
      </c>
      <c r="L74" s="7">
        <v>504</v>
      </c>
      <c r="M74" s="16"/>
    </row>
    <row r="75" spans="1:18" x14ac:dyDescent="0.3">
      <c r="D75" s="15"/>
      <c r="E75" s="7" t="s">
        <v>13</v>
      </c>
      <c r="F75" s="7">
        <v>64</v>
      </c>
      <c r="G75" s="7" t="s">
        <v>7</v>
      </c>
      <c r="H75" s="7">
        <v>2.5</v>
      </c>
      <c r="I75" s="7">
        <v>64</v>
      </c>
      <c r="K75" s="7">
        <v>1</v>
      </c>
      <c r="L75" s="7">
        <v>504</v>
      </c>
      <c r="M75" s="16"/>
    </row>
    <row r="76" spans="1:18" x14ac:dyDescent="0.3">
      <c r="D76" s="15"/>
      <c r="E76" s="7" t="s">
        <v>13</v>
      </c>
      <c r="F76" s="7">
        <v>72</v>
      </c>
      <c r="G76" s="7" t="s">
        <v>7</v>
      </c>
      <c r="H76" s="7">
        <v>2.5</v>
      </c>
      <c r="I76" s="7">
        <v>65</v>
      </c>
      <c r="K76" s="7">
        <v>1</v>
      </c>
      <c r="L76" s="7">
        <v>504</v>
      </c>
      <c r="M76" s="16"/>
    </row>
    <row r="78" spans="1:18" x14ac:dyDescent="0.3">
      <c r="A78">
        <v>12</v>
      </c>
      <c r="B78" t="s">
        <v>53</v>
      </c>
      <c r="C78" t="s">
        <v>87</v>
      </c>
      <c r="D78" s="1">
        <v>42562</v>
      </c>
      <c r="E78" t="s">
        <v>13</v>
      </c>
      <c r="F78" s="2">
        <v>56</v>
      </c>
      <c r="G78" s="2" t="s">
        <v>7</v>
      </c>
      <c r="H78" s="2">
        <v>2</v>
      </c>
      <c r="I78" s="2">
        <v>66</v>
      </c>
      <c r="J78" s="2" t="s">
        <v>31</v>
      </c>
      <c r="K78" s="2">
        <v>1</v>
      </c>
      <c r="L78" s="2">
        <v>719</v>
      </c>
      <c r="M78" s="4" t="s">
        <v>12</v>
      </c>
      <c r="N78" s="7">
        <v>-120</v>
      </c>
      <c r="O78" s="7">
        <v>-150</v>
      </c>
      <c r="P78" s="7">
        <v>200</v>
      </c>
      <c r="Q78" s="7">
        <v>70</v>
      </c>
      <c r="R78" s="7">
        <v>10.7</v>
      </c>
    </row>
    <row r="79" spans="1:18" x14ac:dyDescent="0.3">
      <c r="E79" t="s">
        <v>13</v>
      </c>
      <c r="F79">
        <v>72</v>
      </c>
      <c r="G79" t="s">
        <v>7</v>
      </c>
      <c r="H79">
        <v>2</v>
      </c>
      <c r="I79">
        <v>67</v>
      </c>
      <c r="K79" s="7">
        <v>1</v>
      </c>
      <c r="L79" s="7">
        <v>719</v>
      </c>
    </row>
    <row r="80" spans="1:18" x14ac:dyDescent="0.3">
      <c r="E80" t="s">
        <v>13</v>
      </c>
      <c r="F80">
        <v>77</v>
      </c>
      <c r="G80" t="s">
        <v>7</v>
      </c>
      <c r="H80">
        <v>2.5</v>
      </c>
      <c r="I80">
        <v>68</v>
      </c>
      <c r="K80" s="7">
        <v>1</v>
      </c>
      <c r="L80" s="7">
        <v>719</v>
      </c>
    </row>
    <row r="81" spans="1:19" x14ac:dyDescent="0.3">
      <c r="E81" t="s">
        <v>13</v>
      </c>
      <c r="F81">
        <v>123</v>
      </c>
      <c r="G81" t="s">
        <v>7</v>
      </c>
      <c r="H81">
        <v>2</v>
      </c>
      <c r="I81">
        <v>69</v>
      </c>
      <c r="K81" s="7">
        <v>1</v>
      </c>
      <c r="L81" s="7">
        <v>702</v>
      </c>
    </row>
    <row r="83" spans="1:19" x14ac:dyDescent="0.3">
      <c r="A83">
        <v>13</v>
      </c>
      <c r="B83" t="s">
        <v>54</v>
      </c>
      <c r="C83" t="s">
        <v>87</v>
      </c>
      <c r="D83" s="1">
        <v>42563</v>
      </c>
      <c r="E83" t="s">
        <v>13</v>
      </c>
      <c r="F83" s="2">
        <v>56</v>
      </c>
      <c r="G83" s="2" t="s">
        <v>7</v>
      </c>
      <c r="H83" s="2">
        <v>2</v>
      </c>
      <c r="I83" s="2">
        <v>70</v>
      </c>
      <c r="J83" s="2" t="s">
        <v>32</v>
      </c>
      <c r="K83" s="2">
        <v>1</v>
      </c>
      <c r="L83" s="2">
        <v>736</v>
      </c>
      <c r="M83" s="4" t="s">
        <v>12</v>
      </c>
      <c r="N83" s="7">
        <v>-130</v>
      </c>
      <c r="O83" s="7">
        <v>-120</v>
      </c>
      <c r="P83" s="7">
        <v>200</v>
      </c>
      <c r="Q83" s="7">
        <v>70</v>
      </c>
      <c r="R83" s="7">
        <v>10.7</v>
      </c>
      <c r="S83" s="7"/>
    </row>
    <row r="84" spans="1:19" x14ac:dyDescent="0.3">
      <c r="E84" t="s">
        <v>13</v>
      </c>
      <c r="F84">
        <v>64</v>
      </c>
      <c r="G84" t="s">
        <v>7</v>
      </c>
      <c r="H84">
        <v>2.5</v>
      </c>
      <c r="I84">
        <v>71</v>
      </c>
      <c r="K84">
        <v>1</v>
      </c>
      <c r="L84">
        <v>736</v>
      </c>
    </row>
    <row r="85" spans="1:19" x14ac:dyDescent="0.3">
      <c r="E85" t="s">
        <v>13</v>
      </c>
      <c r="F85" s="2">
        <v>77</v>
      </c>
      <c r="G85" s="2" t="s">
        <v>7</v>
      </c>
      <c r="H85" s="2">
        <v>2.5</v>
      </c>
      <c r="I85" s="2">
        <v>72</v>
      </c>
      <c r="J85" s="2" t="s">
        <v>26</v>
      </c>
      <c r="K85" s="2">
        <v>1</v>
      </c>
      <c r="L85" s="2">
        <v>736</v>
      </c>
    </row>
    <row r="86" spans="1:19" x14ac:dyDescent="0.3">
      <c r="E86" t="s">
        <v>13</v>
      </c>
      <c r="F86">
        <v>82</v>
      </c>
      <c r="G86" t="s">
        <v>7</v>
      </c>
      <c r="H86">
        <v>2.5</v>
      </c>
      <c r="I86">
        <v>73</v>
      </c>
      <c r="K86">
        <v>1</v>
      </c>
      <c r="L86">
        <v>736</v>
      </c>
    </row>
    <row r="87" spans="1:19" x14ac:dyDescent="0.3">
      <c r="E87" t="s">
        <v>20</v>
      </c>
      <c r="F87">
        <v>157</v>
      </c>
      <c r="G87" t="s">
        <v>7</v>
      </c>
      <c r="H87">
        <v>3.5</v>
      </c>
      <c r="I87">
        <v>74</v>
      </c>
      <c r="K87">
        <v>1</v>
      </c>
      <c r="L87">
        <v>730</v>
      </c>
    </row>
    <row r="89" spans="1:19" x14ac:dyDescent="0.3">
      <c r="A89">
        <v>14</v>
      </c>
      <c r="B89" t="s">
        <v>55</v>
      </c>
      <c r="C89" t="s">
        <v>87</v>
      </c>
      <c r="D89" s="1">
        <v>42564</v>
      </c>
      <c r="E89" t="s">
        <v>13</v>
      </c>
      <c r="F89" s="2">
        <v>77</v>
      </c>
      <c r="G89" s="2" t="s">
        <v>7</v>
      </c>
      <c r="H89" s="2">
        <v>2.5</v>
      </c>
      <c r="I89" s="2">
        <v>75</v>
      </c>
      <c r="J89" s="2" t="s">
        <v>27</v>
      </c>
      <c r="K89" s="2">
        <v>1</v>
      </c>
      <c r="L89" s="2">
        <v>705</v>
      </c>
      <c r="M89" s="4" t="s">
        <v>12</v>
      </c>
      <c r="N89" s="7">
        <v>-150</v>
      </c>
      <c r="O89" s="7">
        <v>-120</v>
      </c>
      <c r="P89" s="7">
        <v>200</v>
      </c>
      <c r="Q89" s="7">
        <v>70</v>
      </c>
      <c r="R89" s="7">
        <v>10.7</v>
      </c>
      <c r="S89" s="7"/>
    </row>
    <row r="90" spans="1:19" x14ac:dyDescent="0.3">
      <c r="N90" s="7"/>
      <c r="O90" s="7"/>
      <c r="P90" s="7"/>
      <c r="Q90" s="7"/>
      <c r="R90" s="7"/>
      <c r="S90" s="7"/>
    </row>
    <row r="91" spans="1:19" x14ac:dyDescent="0.3">
      <c r="A91">
        <v>15</v>
      </c>
      <c r="B91" t="s">
        <v>56</v>
      </c>
      <c r="C91" t="s">
        <v>87</v>
      </c>
      <c r="D91" s="1">
        <v>42565</v>
      </c>
      <c r="E91" t="s">
        <v>13</v>
      </c>
      <c r="F91">
        <v>72</v>
      </c>
      <c r="G91" t="s">
        <v>7</v>
      </c>
      <c r="H91">
        <v>2.5</v>
      </c>
      <c r="I91">
        <v>76</v>
      </c>
      <c r="K91">
        <v>7</v>
      </c>
      <c r="L91">
        <v>630</v>
      </c>
      <c r="M91" s="4" t="s">
        <v>12</v>
      </c>
      <c r="N91">
        <v>-140</v>
      </c>
      <c r="O91">
        <v>-130</v>
      </c>
      <c r="P91">
        <v>200</v>
      </c>
      <c r="Q91">
        <v>70</v>
      </c>
      <c r="R91">
        <v>10.75</v>
      </c>
    </row>
    <row r="92" spans="1:19" x14ac:dyDescent="0.3">
      <c r="E92" t="s">
        <v>13</v>
      </c>
      <c r="F92" s="2">
        <v>77</v>
      </c>
      <c r="G92" s="2" t="s">
        <v>7</v>
      </c>
      <c r="H92" s="2">
        <v>2.5</v>
      </c>
      <c r="I92" s="2">
        <v>77</v>
      </c>
      <c r="J92" s="2" t="s">
        <v>17</v>
      </c>
      <c r="K92" s="2">
        <v>1</v>
      </c>
      <c r="L92" s="2">
        <v>630</v>
      </c>
    </row>
    <row r="94" spans="1:19" x14ac:dyDescent="0.3">
      <c r="A94">
        <v>16</v>
      </c>
      <c r="B94" t="s">
        <v>57</v>
      </c>
      <c r="C94" t="s">
        <v>87</v>
      </c>
      <c r="D94" s="1">
        <v>42566</v>
      </c>
      <c r="E94" t="s">
        <v>13</v>
      </c>
      <c r="F94">
        <v>39</v>
      </c>
      <c r="G94" t="s">
        <v>7</v>
      </c>
      <c r="H94">
        <v>2.5</v>
      </c>
      <c r="I94">
        <v>78</v>
      </c>
      <c r="K94">
        <v>1</v>
      </c>
      <c r="L94">
        <v>692</v>
      </c>
      <c r="M94" s="4" t="s">
        <v>12</v>
      </c>
      <c r="N94">
        <v>-120</v>
      </c>
      <c r="O94">
        <v>-125</v>
      </c>
      <c r="P94">
        <v>200</v>
      </c>
      <c r="Q94">
        <v>70</v>
      </c>
      <c r="R94">
        <v>10.8</v>
      </c>
    </row>
    <row r="95" spans="1:19" x14ac:dyDescent="0.3">
      <c r="E95" t="s">
        <v>13</v>
      </c>
      <c r="F95" s="2">
        <v>77</v>
      </c>
      <c r="G95" s="2" t="s">
        <v>7</v>
      </c>
      <c r="H95" s="2">
        <v>2.5</v>
      </c>
      <c r="I95" s="2">
        <v>79</v>
      </c>
      <c r="J95" s="2" t="s">
        <v>18</v>
      </c>
      <c r="K95" s="2">
        <v>1</v>
      </c>
      <c r="L95" s="2">
        <v>692</v>
      </c>
    </row>
    <row r="96" spans="1:19" x14ac:dyDescent="0.3">
      <c r="E96" t="s">
        <v>13</v>
      </c>
      <c r="F96">
        <v>82</v>
      </c>
      <c r="G96" t="s">
        <v>7</v>
      </c>
      <c r="H96">
        <v>2.5</v>
      </c>
      <c r="I96">
        <v>80</v>
      </c>
      <c r="K96">
        <v>4</v>
      </c>
      <c r="L96">
        <v>692</v>
      </c>
    </row>
    <row r="97" spans="1:19" x14ac:dyDescent="0.3">
      <c r="E97" t="s">
        <v>13</v>
      </c>
      <c r="F97">
        <v>101</v>
      </c>
      <c r="G97" t="s">
        <v>7</v>
      </c>
      <c r="H97">
        <v>2.5</v>
      </c>
      <c r="I97">
        <v>81</v>
      </c>
      <c r="K97">
        <v>44</v>
      </c>
      <c r="L97">
        <v>692</v>
      </c>
    </row>
    <row r="99" spans="1:19" x14ac:dyDescent="0.3">
      <c r="A99">
        <v>17</v>
      </c>
      <c r="B99" t="s">
        <v>58</v>
      </c>
      <c r="C99" t="s">
        <v>87</v>
      </c>
      <c r="D99" s="1">
        <v>42569</v>
      </c>
      <c r="E99" t="s">
        <v>13</v>
      </c>
      <c r="F99" s="2">
        <v>56</v>
      </c>
      <c r="G99" s="2" t="s">
        <v>7</v>
      </c>
      <c r="H99" s="2">
        <v>2</v>
      </c>
      <c r="I99" s="2">
        <v>82</v>
      </c>
      <c r="J99" s="2" t="s">
        <v>34</v>
      </c>
      <c r="K99" s="2">
        <v>1</v>
      </c>
      <c r="L99" s="2">
        <v>751</v>
      </c>
      <c r="M99" s="4" t="s">
        <v>12</v>
      </c>
      <c r="N99" s="7">
        <v>-145</v>
      </c>
      <c r="O99" s="7">
        <v>-140</v>
      </c>
      <c r="P99" s="7">
        <v>200</v>
      </c>
      <c r="Q99" s="7">
        <v>70</v>
      </c>
      <c r="R99" s="7">
        <v>10.9</v>
      </c>
    </row>
    <row r="100" spans="1:19" x14ac:dyDescent="0.3">
      <c r="E100" t="s">
        <v>13</v>
      </c>
      <c r="F100">
        <v>66</v>
      </c>
      <c r="G100" t="s">
        <v>7</v>
      </c>
      <c r="H100">
        <v>2</v>
      </c>
      <c r="I100">
        <v>83</v>
      </c>
      <c r="K100">
        <v>28</v>
      </c>
      <c r="L100">
        <v>751</v>
      </c>
    </row>
    <row r="101" spans="1:19" x14ac:dyDescent="0.3">
      <c r="E101" t="s">
        <v>13</v>
      </c>
      <c r="F101" s="2">
        <v>68</v>
      </c>
      <c r="G101" s="2" t="s">
        <v>7</v>
      </c>
      <c r="H101" s="2">
        <v>2</v>
      </c>
      <c r="I101" s="2">
        <v>84</v>
      </c>
      <c r="J101" s="2" t="s">
        <v>33</v>
      </c>
      <c r="K101" s="2">
        <v>87</v>
      </c>
      <c r="L101" s="2">
        <v>751</v>
      </c>
    </row>
    <row r="102" spans="1:19" x14ac:dyDescent="0.3">
      <c r="E102" t="s">
        <v>13</v>
      </c>
      <c r="F102">
        <v>123</v>
      </c>
      <c r="G102" t="s">
        <v>7</v>
      </c>
      <c r="H102">
        <v>2.5</v>
      </c>
      <c r="I102">
        <v>85</v>
      </c>
      <c r="K102">
        <v>1</v>
      </c>
      <c r="L102">
        <v>751</v>
      </c>
    </row>
    <row r="104" spans="1:19" x14ac:dyDescent="0.3">
      <c r="A104">
        <v>18</v>
      </c>
      <c r="B104" t="s">
        <v>59</v>
      </c>
      <c r="C104" t="s">
        <v>87</v>
      </c>
      <c r="D104" s="1">
        <v>42570</v>
      </c>
      <c r="E104" t="s">
        <v>13</v>
      </c>
      <c r="F104" s="2">
        <v>56</v>
      </c>
      <c r="G104" s="2" t="s">
        <v>7</v>
      </c>
      <c r="H104" s="2">
        <v>2</v>
      </c>
      <c r="I104" s="2">
        <v>86</v>
      </c>
      <c r="J104" s="2" t="s">
        <v>19</v>
      </c>
      <c r="K104" s="2">
        <v>1</v>
      </c>
      <c r="L104" s="2">
        <v>814</v>
      </c>
      <c r="M104" s="4" t="s">
        <v>12</v>
      </c>
      <c r="N104" s="7">
        <v>-150</v>
      </c>
      <c r="O104" s="7">
        <v>-140</v>
      </c>
      <c r="P104" s="7">
        <v>200</v>
      </c>
      <c r="Q104" s="7">
        <v>70</v>
      </c>
      <c r="R104" s="7">
        <v>10.95</v>
      </c>
      <c r="S104" s="7"/>
    </row>
    <row r="105" spans="1:19" x14ac:dyDescent="0.3">
      <c r="E105" t="s">
        <v>13</v>
      </c>
      <c r="F105">
        <v>72</v>
      </c>
      <c r="G105" t="s">
        <v>7</v>
      </c>
      <c r="H105">
        <v>2.5</v>
      </c>
      <c r="I105">
        <v>87</v>
      </c>
      <c r="K105">
        <v>1</v>
      </c>
      <c r="L105">
        <v>814</v>
      </c>
    </row>
    <row r="107" spans="1:19" x14ac:dyDescent="0.3">
      <c r="A107">
        <v>19</v>
      </c>
      <c r="B107" t="s">
        <v>60</v>
      </c>
      <c r="C107" t="s">
        <v>87</v>
      </c>
      <c r="D107" s="1">
        <v>42571</v>
      </c>
      <c r="E107" t="s">
        <v>13</v>
      </c>
      <c r="F107">
        <v>18</v>
      </c>
      <c r="G107" t="s">
        <v>7</v>
      </c>
      <c r="H107">
        <v>2.5</v>
      </c>
      <c r="I107">
        <v>88</v>
      </c>
      <c r="K107">
        <v>1</v>
      </c>
      <c r="L107">
        <v>781</v>
      </c>
      <c r="M107" s="4" t="s">
        <v>12</v>
      </c>
      <c r="N107">
        <v>-150</v>
      </c>
      <c r="O107">
        <v>-110</v>
      </c>
      <c r="P107">
        <v>200</v>
      </c>
      <c r="Q107">
        <v>70</v>
      </c>
      <c r="R107">
        <v>11.05</v>
      </c>
    </row>
    <row r="108" spans="1:19" x14ac:dyDescent="0.3">
      <c r="E108" t="s">
        <v>13</v>
      </c>
      <c r="F108">
        <v>72</v>
      </c>
      <c r="G108" t="s">
        <v>7</v>
      </c>
      <c r="H108">
        <v>2.5</v>
      </c>
      <c r="I108">
        <v>89</v>
      </c>
      <c r="K108">
        <v>1</v>
      </c>
      <c r="L108">
        <v>781</v>
      </c>
    </row>
    <row r="110" spans="1:19" x14ac:dyDescent="0.3">
      <c r="A110">
        <v>20</v>
      </c>
      <c r="B110" t="s">
        <v>61</v>
      </c>
      <c r="C110" t="s">
        <v>87</v>
      </c>
      <c r="D110" s="1">
        <v>42572</v>
      </c>
      <c r="E110" t="s">
        <v>13</v>
      </c>
      <c r="F110">
        <v>35</v>
      </c>
      <c r="G110" t="s">
        <v>7</v>
      </c>
      <c r="H110">
        <v>2.5</v>
      </c>
      <c r="I110">
        <v>90</v>
      </c>
      <c r="K110">
        <v>1</v>
      </c>
      <c r="L110">
        <v>742</v>
      </c>
      <c r="M110" s="4" t="s">
        <v>12</v>
      </c>
      <c r="N110">
        <v>-140</v>
      </c>
      <c r="O110">
        <v>-140</v>
      </c>
      <c r="P110">
        <v>200</v>
      </c>
      <c r="Q110">
        <v>70</v>
      </c>
      <c r="R110">
        <v>11</v>
      </c>
    </row>
    <row r="111" spans="1:19" x14ac:dyDescent="0.3">
      <c r="E111" t="s">
        <v>13</v>
      </c>
      <c r="F111">
        <v>69</v>
      </c>
      <c r="G111" t="s">
        <v>7</v>
      </c>
      <c r="H111">
        <v>2.5</v>
      </c>
      <c r="I111">
        <v>91</v>
      </c>
      <c r="K111">
        <v>1</v>
      </c>
      <c r="L111">
        <v>742</v>
      </c>
    </row>
    <row r="112" spans="1:19" x14ac:dyDescent="0.3">
      <c r="E112" t="s">
        <v>13</v>
      </c>
      <c r="F112">
        <v>72</v>
      </c>
      <c r="G112" t="s">
        <v>7</v>
      </c>
      <c r="H112">
        <v>2.5</v>
      </c>
      <c r="I112">
        <v>92</v>
      </c>
      <c r="K112">
        <v>1</v>
      </c>
      <c r="L112">
        <v>742</v>
      </c>
    </row>
    <row r="113" spans="1:18" x14ac:dyDescent="0.3">
      <c r="E113" t="s">
        <v>13</v>
      </c>
      <c r="F113">
        <v>101</v>
      </c>
      <c r="G113" t="s">
        <v>7</v>
      </c>
      <c r="H113">
        <v>2.5</v>
      </c>
      <c r="I113">
        <v>93</v>
      </c>
      <c r="K113">
        <v>1</v>
      </c>
      <c r="L113">
        <v>742</v>
      </c>
    </row>
    <row r="114" spans="1:18" x14ac:dyDescent="0.3">
      <c r="E114" t="s">
        <v>20</v>
      </c>
      <c r="F114">
        <v>189</v>
      </c>
      <c r="G114" t="s">
        <v>7</v>
      </c>
      <c r="H114">
        <v>3.5</v>
      </c>
      <c r="I114">
        <v>94</v>
      </c>
      <c r="K114">
        <v>1</v>
      </c>
      <c r="L114">
        <v>742</v>
      </c>
    </row>
    <row r="116" spans="1:18" x14ac:dyDescent="0.3">
      <c r="A116">
        <v>21</v>
      </c>
      <c r="B116" t="s">
        <v>62</v>
      </c>
      <c r="C116" t="s">
        <v>21</v>
      </c>
      <c r="D116" s="1">
        <v>42573</v>
      </c>
      <c r="E116" t="s">
        <v>13</v>
      </c>
      <c r="F116" s="2">
        <v>72</v>
      </c>
      <c r="G116" s="2" t="s">
        <v>7</v>
      </c>
      <c r="H116" s="2">
        <v>2.5</v>
      </c>
      <c r="I116" s="2">
        <v>95</v>
      </c>
      <c r="J116" s="2" t="s">
        <v>35</v>
      </c>
      <c r="K116" s="2">
        <v>1</v>
      </c>
      <c r="L116" s="2">
        <v>751</v>
      </c>
      <c r="M116" s="4" t="s">
        <v>12</v>
      </c>
      <c r="N116" s="7">
        <v>-130</v>
      </c>
      <c r="O116" s="7">
        <v>-115</v>
      </c>
      <c r="P116" s="7">
        <v>200</v>
      </c>
      <c r="Q116" s="7">
        <v>70</v>
      </c>
      <c r="R116" s="7">
        <v>11.1</v>
      </c>
    </row>
    <row r="117" spans="1:18" x14ac:dyDescent="0.3">
      <c r="E117" t="s">
        <v>13</v>
      </c>
      <c r="F117" s="2">
        <v>101</v>
      </c>
      <c r="G117" s="2" t="s">
        <v>7</v>
      </c>
      <c r="H117" s="2">
        <v>2.5</v>
      </c>
      <c r="I117" s="2">
        <v>96</v>
      </c>
      <c r="J117" s="2" t="s">
        <v>36</v>
      </c>
      <c r="K117" s="2">
        <v>1</v>
      </c>
      <c r="L117" s="2">
        <v>751</v>
      </c>
    </row>
    <row r="120" spans="1:18" x14ac:dyDescent="0.3">
      <c r="B120" t="s">
        <v>37</v>
      </c>
    </row>
    <row r="121" spans="1:18" x14ac:dyDescent="0.3">
      <c r="B121" t="s">
        <v>25</v>
      </c>
    </row>
    <row r="123" spans="1:18" x14ac:dyDescent="0.3">
      <c r="B12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"/>
  <sheetViews>
    <sheetView topLeftCell="A85" workbookViewId="0">
      <selection activeCell="C102" sqref="C102"/>
    </sheetView>
  </sheetViews>
  <sheetFormatPr defaultRowHeight="14.4" x14ac:dyDescent="0.3"/>
  <cols>
    <col min="2" max="2" width="25.5546875" customWidth="1"/>
    <col min="3" max="3" width="18.21875" bestFit="1" customWidth="1"/>
    <col min="4" max="4" width="9.5546875" bestFit="1" customWidth="1"/>
    <col min="8" max="8" width="15.88671875" bestFit="1" customWidth="1"/>
    <col min="10" max="10" width="46.77734375" bestFit="1" customWidth="1"/>
    <col min="11" max="11" width="11.33203125" bestFit="1" customWidth="1"/>
    <col min="12" max="12" width="10.33203125" bestFit="1" customWidth="1"/>
    <col min="13" max="13" width="16.77734375" bestFit="1" customWidth="1"/>
    <col min="14" max="14" width="14.5546875" bestFit="1" customWidth="1"/>
    <col min="15" max="15" width="19.6640625" bestFit="1" customWidth="1"/>
    <col min="16" max="16" width="19.77734375" bestFit="1" customWidth="1"/>
    <col min="17" max="17" width="16.109375" bestFit="1" customWidth="1"/>
    <col min="18" max="18" width="9.6640625" bestFit="1" customWidth="1"/>
    <col min="20" max="20" width="25.109375" bestFit="1" customWidth="1"/>
    <col min="21" max="21" width="22.5546875" bestFit="1" customWidth="1"/>
  </cols>
  <sheetData>
    <row r="1" spans="1:20" x14ac:dyDescent="0.3">
      <c r="A1" s="3" t="s">
        <v>83</v>
      </c>
      <c r="B1" s="3"/>
    </row>
    <row r="2" spans="1:20" x14ac:dyDescent="0.3">
      <c r="A2" s="4" t="s">
        <v>0</v>
      </c>
      <c r="B2" s="4" t="s">
        <v>9</v>
      </c>
      <c r="C2" s="4" t="s">
        <v>11</v>
      </c>
      <c r="D2" s="8" t="s">
        <v>4</v>
      </c>
      <c r="E2" s="4" t="s">
        <v>39</v>
      </c>
      <c r="F2" s="4" t="s">
        <v>38</v>
      </c>
      <c r="G2" s="4" t="s">
        <v>1</v>
      </c>
      <c r="H2" s="4" t="s">
        <v>40</v>
      </c>
      <c r="I2" s="4" t="s">
        <v>22</v>
      </c>
      <c r="J2" s="4" t="s">
        <v>14</v>
      </c>
      <c r="K2" s="4" t="s">
        <v>3</v>
      </c>
      <c r="L2" s="4" t="s">
        <v>2</v>
      </c>
      <c r="M2" s="4" t="s">
        <v>86</v>
      </c>
      <c r="N2" s="4" t="s">
        <v>66</v>
      </c>
      <c r="O2" s="4" t="s">
        <v>63</v>
      </c>
      <c r="P2" s="4" t="s">
        <v>64</v>
      </c>
      <c r="Q2" s="4" t="s">
        <v>65</v>
      </c>
      <c r="R2" s="4" t="s">
        <v>67</v>
      </c>
      <c r="S2" s="4" t="s">
        <v>68</v>
      </c>
      <c r="T2" s="4" t="s">
        <v>14</v>
      </c>
    </row>
    <row r="3" spans="1:20" x14ac:dyDescent="0.3">
      <c r="A3">
        <v>1</v>
      </c>
      <c r="B3" t="s">
        <v>43</v>
      </c>
      <c r="C3" t="s">
        <v>87</v>
      </c>
      <c r="D3" s="1">
        <v>42520</v>
      </c>
      <c r="E3" t="s">
        <v>13</v>
      </c>
      <c r="F3">
        <v>17</v>
      </c>
      <c r="G3" t="s">
        <v>7</v>
      </c>
      <c r="H3">
        <v>3</v>
      </c>
      <c r="I3">
        <v>1</v>
      </c>
      <c r="K3">
        <v>1</v>
      </c>
      <c r="L3">
        <v>774</v>
      </c>
      <c r="M3">
        <v>774</v>
      </c>
      <c r="N3" s="4" t="s">
        <v>6</v>
      </c>
      <c r="R3">
        <v>80</v>
      </c>
      <c r="S3" t="s">
        <v>69</v>
      </c>
    </row>
    <row r="4" spans="1:20" x14ac:dyDescent="0.3">
      <c r="E4" t="s">
        <v>13</v>
      </c>
      <c r="F4">
        <v>52</v>
      </c>
      <c r="G4" t="s">
        <v>7</v>
      </c>
      <c r="H4">
        <v>2.5</v>
      </c>
      <c r="I4">
        <v>2</v>
      </c>
      <c r="K4">
        <v>1</v>
      </c>
      <c r="L4">
        <v>774</v>
      </c>
      <c r="M4">
        <v>774</v>
      </c>
    </row>
    <row r="5" spans="1:20" x14ac:dyDescent="0.3">
      <c r="E5" t="s">
        <v>13</v>
      </c>
      <c r="F5">
        <v>75</v>
      </c>
      <c r="G5" t="s">
        <v>7</v>
      </c>
      <c r="H5">
        <v>3</v>
      </c>
      <c r="I5">
        <v>3</v>
      </c>
      <c r="K5">
        <v>1</v>
      </c>
      <c r="L5">
        <v>774</v>
      </c>
      <c r="M5">
        <v>774</v>
      </c>
    </row>
    <row r="6" spans="1:20" x14ac:dyDescent="0.3">
      <c r="E6" t="s">
        <v>13</v>
      </c>
      <c r="F6">
        <v>115</v>
      </c>
      <c r="G6" t="s">
        <v>7</v>
      </c>
      <c r="H6">
        <v>2.5</v>
      </c>
      <c r="I6">
        <v>4</v>
      </c>
      <c r="K6">
        <v>1</v>
      </c>
      <c r="L6">
        <v>135</v>
      </c>
      <c r="M6">
        <v>774</v>
      </c>
    </row>
    <row r="7" spans="1:20" x14ac:dyDescent="0.3">
      <c r="E7" t="s">
        <v>13</v>
      </c>
      <c r="F7">
        <v>115</v>
      </c>
      <c r="G7" t="s">
        <v>8</v>
      </c>
      <c r="H7">
        <v>2.5</v>
      </c>
      <c r="I7">
        <v>5</v>
      </c>
      <c r="K7">
        <v>109</v>
      </c>
      <c r="L7">
        <v>774</v>
      </c>
      <c r="M7">
        <v>774</v>
      </c>
    </row>
    <row r="8" spans="1:20" x14ac:dyDescent="0.3">
      <c r="E8" t="s">
        <v>20</v>
      </c>
      <c r="F8">
        <v>132</v>
      </c>
      <c r="G8" t="s">
        <v>7</v>
      </c>
      <c r="H8">
        <v>2</v>
      </c>
      <c r="I8">
        <v>6</v>
      </c>
      <c r="K8">
        <v>1</v>
      </c>
      <c r="L8">
        <v>774</v>
      </c>
      <c r="M8">
        <v>774</v>
      </c>
    </row>
    <row r="9" spans="1:20" x14ac:dyDescent="0.3">
      <c r="E9" t="s">
        <v>20</v>
      </c>
      <c r="F9">
        <v>150</v>
      </c>
      <c r="G9" t="s">
        <v>7</v>
      </c>
      <c r="H9">
        <v>2</v>
      </c>
      <c r="I9">
        <v>7</v>
      </c>
      <c r="K9">
        <v>1</v>
      </c>
      <c r="L9">
        <v>774</v>
      </c>
      <c r="M9">
        <v>774</v>
      </c>
    </row>
    <row r="10" spans="1:20" x14ac:dyDescent="0.3">
      <c r="E10" t="s">
        <v>20</v>
      </c>
      <c r="F10">
        <v>190</v>
      </c>
      <c r="G10" t="s">
        <v>7</v>
      </c>
      <c r="H10">
        <v>2</v>
      </c>
      <c r="I10">
        <v>8</v>
      </c>
      <c r="K10">
        <v>1</v>
      </c>
      <c r="L10">
        <v>774</v>
      </c>
      <c r="M10">
        <v>774</v>
      </c>
    </row>
    <row r="12" spans="1:20" x14ac:dyDescent="0.3">
      <c r="A12">
        <v>2</v>
      </c>
      <c r="B12" t="s">
        <v>42</v>
      </c>
      <c r="C12" t="s">
        <v>87</v>
      </c>
      <c r="D12" s="1">
        <v>42521</v>
      </c>
      <c r="E12" t="s">
        <v>13</v>
      </c>
      <c r="F12">
        <v>17</v>
      </c>
      <c r="G12" t="s">
        <v>7</v>
      </c>
      <c r="H12">
        <v>3</v>
      </c>
      <c r="I12">
        <v>9</v>
      </c>
      <c r="K12">
        <v>1</v>
      </c>
      <c r="L12">
        <v>573</v>
      </c>
      <c r="M12">
        <v>573</v>
      </c>
      <c r="N12" s="4" t="s">
        <v>12</v>
      </c>
      <c r="O12">
        <v>90</v>
      </c>
      <c r="P12">
        <v>40</v>
      </c>
      <c r="Q12">
        <v>200</v>
      </c>
      <c r="R12">
        <v>80</v>
      </c>
      <c r="S12">
        <v>10.9</v>
      </c>
    </row>
    <row r="13" spans="1:20" x14ac:dyDescent="0.3">
      <c r="E13" t="s">
        <v>13</v>
      </c>
      <c r="F13">
        <v>50</v>
      </c>
      <c r="G13" t="s">
        <v>8</v>
      </c>
      <c r="H13">
        <v>3</v>
      </c>
      <c r="I13">
        <v>10</v>
      </c>
      <c r="K13">
        <v>5</v>
      </c>
      <c r="L13">
        <v>573</v>
      </c>
      <c r="M13">
        <v>573</v>
      </c>
    </row>
    <row r="14" spans="1:20" x14ac:dyDescent="0.3">
      <c r="E14" t="s">
        <v>13</v>
      </c>
      <c r="F14">
        <v>72</v>
      </c>
      <c r="G14" t="s">
        <v>7</v>
      </c>
      <c r="H14">
        <v>3</v>
      </c>
      <c r="I14">
        <v>11</v>
      </c>
      <c r="K14">
        <v>1</v>
      </c>
      <c r="L14">
        <v>573</v>
      </c>
      <c r="M14">
        <v>573</v>
      </c>
    </row>
    <row r="15" spans="1:20" x14ac:dyDescent="0.3">
      <c r="E15" t="s">
        <v>13</v>
      </c>
      <c r="F15" s="2">
        <v>75</v>
      </c>
      <c r="G15" s="2" t="s">
        <v>7</v>
      </c>
      <c r="H15" s="2">
        <v>2.5</v>
      </c>
      <c r="I15" s="2">
        <v>12</v>
      </c>
      <c r="J15" s="2" t="s">
        <v>28</v>
      </c>
      <c r="K15" s="2">
        <v>1</v>
      </c>
      <c r="L15" s="2">
        <v>573</v>
      </c>
      <c r="M15" s="2">
        <v>573</v>
      </c>
    </row>
    <row r="16" spans="1:20" x14ac:dyDescent="0.3">
      <c r="E16" t="s">
        <v>13</v>
      </c>
      <c r="F16">
        <v>97</v>
      </c>
      <c r="G16" t="s">
        <v>7</v>
      </c>
      <c r="H16">
        <v>2</v>
      </c>
      <c r="I16">
        <v>13</v>
      </c>
      <c r="K16">
        <v>7</v>
      </c>
      <c r="L16">
        <v>551</v>
      </c>
      <c r="M16">
        <v>573</v>
      </c>
    </row>
    <row r="17" spans="1:19" x14ac:dyDescent="0.3">
      <c r="E17" t="s">
        <v>13</v>
      </c>
      <c r="F17">
        <v>115</v>
      </c>
      <c r="G17" t="s">
        <v>7</v>
      </c>
      <c r="H17">
        <v>2</v>
      </c>
      <c r="I17">
        <v>14</v>
      </c>
      <c r="K17">
        <v>157</v>
      </c>
      <c r="L17">
        <v>573</v>
      </c>
      <c r="M17">
        <v>573</v>
      </c>
    </row>
    <row r="18" spans="1:19" x14ac:dyDescent="0.3">
      <c r="E18" t="s">
        <v>20</v>
      </c>
      <c r="F18">
        <v>132</v>
      </c>
      <c r="G18" t="s">
        <v>7</v>
      </c>
      <c r="H18">
        <v>2.5</v>
      </c>
      <c r="I18">
        <v>15</v>
      </c>
      <c r="K18">
        <v>1</v>
      </c>
      <c r="L18">
        <v>573</v>
      </c>
      <c r="M18">
        <v>573</v>
      </c>
    </row>
    <row r="19" spans="1:19" x14ac:dyDescent="0.3">
      <c r="E19" t="s">
        <v>20</v>
      </c>
      <c r="F19">
        <v>150</v>
      </c>
      <c r="G19" t="s">
        <v>7</v>
      </c>
      <c r="H19">
        <v>2.5</v>
      </c>
      <c r="I19">
        <v>16</v>
      </c>
      <c r="K19">
        <v>1</v>
      </c>
      <c r="L19">
        <v>573</v>
      </c>
      <c r="M19">
        <v>573</v>
      </c>
    </row>
    <row r="20" spans="1:19" x14ac:dyDescent="0.3">
      <c r="E20" t="s">
        <v>20</v>
      </c>
      <c r="F20">
        <v>173</v>
      </c>
      <c r="G20" t="s">
        <v>7</v>
      </c>
      <c r="H20">
        <v>2</v>
      </c>
      <c r="I20">
        <v>17</v>
      </c>
      <c r="K20">
        <v>314</v>
      </c>
      <c r="L20">
        <v>573</v>
      </c>
      <c r="M20">
        <v>573</v>
      </c>
    </row>
    <row r="21" spans="1:19" x14ac:dyDescent="0.3">
      <c r="E21" t="s">
        <v>20</v>
      </c>
      <c r="F21">
        <v>190</v>
      </c>
      <c r="G21" t="s">
        <v>8</v>
      </c>
      <c r="H21">
        <v>2.5</v>
      </c>
      <c r="I21">
        <v>18</v>
      </c>
      <c r="K21">
        <v>1</v>
      </c>
      <c r="L21">
        <v>573</v>
      </c>
      <c r="M21">
        <v>573</v>
      </c>
    </row>
    <row r="24" spans="1:19" x14ac:dyDescent="0.3">
      <c r="A24">
        <v>4</v>
      </c>
      <c r="B24" t="s">
        <v>45</v>
      </c>
      <c r="C24" t="s">
        <v>87</v>
      </c>
      <c r="D24" s="1">
        <v>42552</v>
      </c>
      <c r="E24" t="s">
        <v>13</v>
      </c>
      <c r="F24">
        <v>5</v>
      </c>
      <c r="G24" t="s">
        <v>7</v>
      </c>
      <c r="H24">
        <v>2</v>
      </c>
      <c r="I24">
        <v>19</v>
      </c>
      <c r="K24">
        <v>1</v>
      </c>
      <c r="L24">
        <v>490</v>
      </c>
      <c r="M24">
        <v>490</v>
      </c>
      <c r="N24" s="4" t="s">
        <v>6</v>
      </c>
      <c r="R24">
        <v>80</v>
      </c>
      <c r="S24">
        <v>10.6</v>
      </c>
    </row>
    <row r="25" spans="1:19" x14ac:dyDescent="0.3">
      <c r="E25" t="s">
        <v>13</v>
      </c>
      <c r="F25">
        <v>11</v>
      </c>
      <c r="G25" t="s">
        <v>7</v>
      </c>
      <c r="H25">
        <v>3</v>
      </c>
      <c r="I25">
        <f>(I24+1)</f>
        <v>20</v>
      </c>
      <c r="K25">
        <v>1</v>
      </c>
      <c r="L25">
        <v>490</v>
      </c>
      <c r="M25">
        <v>490</v>
      </c>
    </row>
    <row r="26" spans="1:19" x14ac:dyDescent="0.3">
      <c r="E26" t="s">
        <v>13</v>
      </c>
      <c r="F26">
        <v>13</v>
      </c>
      <c r="G26" t="s">
        <v>7</v>
      </c>
      <c r="H26">
        <v>3</v>
      </c>
      <c r="I26">
        <f t="shared" ref="I26:I34" si="0">(I25+1)</f>
        <v>21</v>
      </c>
      <c r="K26">
        <v>1</v>
      </c>
      <c r="L26">
        <v>490</v>
      </c>
      <c r="M26">
        <v>490</v>
      </c>
    </row>
    <row r="27" spans="1:19" x14ac:dyDescent="0.3">
      <c r="E27" t="s">
        <v>13</v>
      </c>
      <c r="F27">
        <v>43</v>
      </c>
      <c r="G27" t="s">
        <v>7</v>
      </c>
      <c r="H27">
        <v>2</v>
      </c>
      <c r="I27">
        <f t="shared" si="0"/>
        <v>22</v>
      </c>
      <c r="K27">
        <v>1</v>
      </c>
      <c r="L27">
        <v>490</v>
      </c>
      <c r="M27">
        <v>490</v>
      </c>
    </row>
    <row r="28" spans="1:19" x14ac:dyDescent="0.3">
      <c r="E28" t="s">
        <v>13</v>
      </c>
      <c r="F28">
        <v>59</v>
      </c>
      <c r="G28" t="s">
        <v>7</v>
      </c>
      <c r="H28">
        <v>2</v>
      </c>
      <c r="I28">
        <f t="shared" si="0"/>
        <v>23</v>
      </c>
      <c r="K28">
        <v>1</v>
      </c>
      <c r="L28">
        <v>475</v>
      </c>
      <c r="M28">
        <v>490</v>
      </c>
    </row>
    <row r="29" spans="1:19" x14ac:dyDescent="0.3">
      <c r="E29" t="s">
        <v>13</v>
      </c>
      <c r="F29" s="2">
        <v>61</v>
      </c>
      <c r="G29" s="2" t="s">
        <v>7</v>
      </c>
      <c r="H29" s="2">
        <v>2</v>
      </c>
      <c r="I29" s="2">
        <f t="shared" si="0"/>
        <v>24</v>
      </c>
      <c r="J29" s="2" t="s">
        <v>15</v>
      </c>
      <c r="K29" s="2">
        <v>1</v>
      </c>
      <c r="L29" s="2">
        <v>490</v>
      </c>
      <c r="M29" s="2">
        <v>490</v>
      </c>
    </row>
    <row r="30" spans="1:19" x14ac:dyDescent="0.3">
      <c r="E30" t="s">
        <v>13</v>
      </c>
      <c r="F30" s="2">
        <v>63</v>
      </c>
      <c r="G30" s="2" t="s">
        <v>7</v>
      </c>
      <c r="H30" s="2">
        <v>2</v>
      </c>
      <c r="I30" s="2">
        <f t="shared" si="0"/>
        <v>25</v>
      </c>
      <c r="J30" s="2" t="s">
        <v>16</v>
      </c>
      <c r="K30" s="2">
        <v>1</v>
      </c>
      <c r="L30" s="2">
        <v>437</v>
      </c>
      <c r="M30" s="2">
        <v>490</v>
      </c>
    </row>
    <row r="31" spans="1:19" x14ac:dyDescent="0.3">
      <c r="E31" t="s">
        <v>13</v>
      </c>
      <c r="F31">
        <v>74</v>
      </c>
      <c r="G31" t="s">
        <v>7</v>
      </c>
      <c r="H31">
        <v>2.5</v>
      </c>
      <c r="I31">
        <f t="shared" si="0"/>
        <v>26</v>
      </c>
      <c r="K31">
        <v>1</v>
      </c>
      <c r="L31">
        <v>490</v>
      </c>
      <c r="M31">
        <v>490</v>
      </c>
    </row>
    <row r="32" spans="1:19" x14ac:dyDescent="0.3">
      <c r="E32" t="s">
        <v>13</v>
      </c>
      <c r="F32">
        <v>96</v>
      </c>
      <c r="G32" t="s">
        <v>7</v>
      </c>
      <c r="H32">
        <v>2</v>
      </c>
      <c r="I32">
        <f t="shared" si="0"/>
        <v>27</v>
      </c>
      <c r="K32">
        <v>1</v>
      </c>
      <c r="L32">
        <v>490</v>
      </c>
      <c r="M32">
        <v>490</v>
      </c>
    </row>
    <row r="33" spans="1:21" x14ac:dyDescent="0.3">
      <c r="E33" t="s">
        <v>13</v>
      </c>
      <c r="F33">
        <v>96</v>
      </c>
      <c r="G33" t="s">
        <v>8</v>
      </c>
      <c r="H33">
        <v>3</v>
      </c>
      <c r="I33">
        <f t="shared" si="0"/>
        <v>28</v>
      </c>
      <c r="K33">
        <v>1</v>
      </c>
      <c r="L33">
        <v>490</v>
      </c>
      <c r="M33">
        <v>490</v>
      </c>
    </row>
    <row r="34" spans="1:21" x14ac:dyDescent="0.3">
      <c r="E34" t="s">
        <v>20</v>
      </c>
      <c r="F34">
        <v>151</v>
      </c>
      <c r="G34" t="s">
        <v>7</v>
      </c>
      <c r="H34">
        <v>2</v>
      </c>
      <c r="I34">
        <f t="shared" si="0"/>
        <v>29</v>
      </c>
      <c r="K34">
        <v>1</v>
      </c>
      <c r="L34">
        <v>490</v>
      </c>
      <c r="M34">
        <v>490</v>
      </c>
    </row>
    <row r="37" spans="1:21" x14ac:dyDescent="0.3">
      <c r="A37">
        <v>6</v>
      </c>
      <c r="B37" t="s">
        <v>47</v>
      </c>
      <c r="C37" t="s">
        <v>87</v>
      </c>
      <c r="D37" s="1">
        <v>42555</v>
      </c>
      <c r="E37" t="s">
        <v>13</v>
      </c>
      <c r="F37">
        <v>60</v>
      </c>
      <c r="G37" t="s">
        <v>7</v>
      </c>
      <c r="H37">
        <v>2</v>
      </c>
      <c r="I37">
        <v>30</v>
      </c>
      <c r="K37">
        <v>1</v>
      </c>
      <c r="L37">
        <v>180</v>
      </c>
      <c r="M37">
        <v>551</v>
      </c>
      <c r="N37" s="4" t="s">
        <v>6</v>
      </c>
      <c r="R37">
        <v>80</v>
      </c>
      <c r="S37">
        <v>10.6</v>
      </c>
    </row>
    <row r="38" spans="1:21" x14ac:dyDescent="0.3">
      <c r="E38" t="s">
        <v>13</v>
      </c>
      <c r="F38">
        <v>84</v>
      </c>
      <c r="G38" t="s">
        <v>7</v>
      </c>
      <c r="H38">
        <v>2.5</v>
      </c>
      <c r="I38">
        <f>(I37+1)</f>
        <v>31</v>
      </c>
      <c r="K38">
        <v>1</v>
      </c>
      <c r="L38" s="17">
        <v>336</v>
      </c>
      <c r="M38">
        <v>551</v>
      </c>
    </row>
    <row r="39" spans="1:21" x14ac:dyDescent="0.3">
      <c r="E39" t="s">
        <v>13</v>
      </c>
      <c r="F39">
        <v>111</v>
      </c>
      <c r="G39" t="s">
        <v>7</v>
      </c>
      <c r="H39">
        <v>2</v>
      </c>
      <c r="I39">
        <f t="shared" ref="I39:I40" si="1">(I38+1)</f>
        <v>32</v>
      </c>
      <c r="K39">
        <v>1</v>
      </c>
      <c r="L39">
        <v>551</v>
      </c>
      <c r="M39">
        <v>551</v>
      </c>
    </row>
    <row r="40" spans="1:21" x14ac:dyDescent="0.3">
      <c r="E40" t="s">
        <v>13</v>
      </c>
      <c r="F40">
        <v>111</v>
      </c>
      <c r="G40" t="s">
        <v>8</v>
      </c>
      <c r="H40">
        <v>2</v>
      </c>
      <c r="I40">
        <f t="shared" si="1"/>
        <v>33</v>
      </c>
      <c r="K40">
        <v>1</v>
      </c>
      <c r="L40">
        <v>551</v>
      </c>
      <c r="M40">
        <v>551</v>
      </c>
    </row>
    <row r="42" spans="1:21" x14ac:dyDescent="0.3">
      <c r="A42">
        <v>7</v>
      </c>
      <c r="B42" t="s">
        <v>48</v>
      </c>
      <c r="C42" t="s">
        <v>87</v>
      </c>
      <c r="D42" s="1">
        <v>42556</v>
      </c>
      <c r="E42" t="s">
        <v>13</v>
      </c>
      <c r="F42">
        <v>9</v>
      </c>
      <c r="G42" t="s">
        <v>7</v>
      </c>
      <c r="H42">
        <v>2.5</v>
      </c>
      <c r="I42">
        <v>34</v>
      </c>
      <c r="K42">
        <v>1</v>
      </c>
      <c r="L42">
        <v>499</v>
      </c>
      <c r="M42">
        <v>499</v>
      </c>
      <c r="N42" s="4" t="s">
        <v>6</v>
      </c>
      <c r="R42">
        <v>80</v>
      </c>
      <c r="S42">
        <v>10.6</v>
      </c>
      <c r="T42" t="s">
        <v>70</v>
      </c>
      <c r="U42" t="s">
        <v>71</v>
      </c>
    </row>
    <row r="43" spans="1:21" x14ac:dyDescent="0.3">
      <c r="E43" t="s">
        <v>13</v>
      </c>
      <c r="F43">
        <v>75</v>
      </c>
      <c r="G43" t="s">
        <v>7</v>
      </c>
      <c r="H43">
        <v>3.5</v>
      </c>
      <c r="I43">
        <f>(I42+1)</f>
        <v>35</v>
      </c>
      <c r="K43">
        <v>2</v>
      </c>
      <c r="L43">
        <v>499</v>
      </c>
      <c r="M43">
        <v>499</v>
      </c>
    </row>
    <row r="44" spans="1:21" x14ac:dyDescent="0.3">
      <c r="E44" t="s">
        <v>13</v>
      </c>
      <c r="F44">
        <v>85</v>
      </c>
      <c r="G44" t="s">
        <v>7</v>
      </c>
      <c r="H44">
        <v>3</v>
      </c>
      <c r="I44">
        <f>(I43+1)</f>
        <v>36</v>
      </c>
      <c r="K44">
        <v>34</v>
      </c>
      <c r="L44">
        <v>499</v>
      </c>
      <c r="M44">
        <v>499</v>
      </c>
    </row>
    <row r="47" spans="1:21" x14ac:dyDescent="0.3">
      <c r="A47">
        <v>9</v>
      </c>
      <c r="B47" t="s">
        <v>50</v>
      </c>
      <c r="C47" t="s">
        <v>87</v>
      </c>
      <c r="D47" s="1">
        <v>42558</v>
      </c>
      <c r="E47" t="s">
        <v>13</v>
      </c>
      <c r="F47">
        <v>44</v>
      </c>
      <c r="G47" t="s">
        <v>7</v>
      </c>
      <c r="H47">
        <v>2</v>
      </c>
      <c r="I47">
        <v>37</v>
      </c>
      <c r="K47">
        <v>1</v>
      </c>
      <c r="L47">
        <v>574</v>
      </c>
      <c r="M47">
        <v>574</v>
      </c>
      <c r="N47" s="4" t="s">
        <v>12</v>
      </c>
      <c r="O47">
        <v>-140</v>
      </c>
      <c r="P47">
        <v>-140</v>
      </c>
      <c r="Q47">
        <v>200</v>
      </c>
      <c r="R47">
        <v>70</v>
      </c>
      <c r="S47">
        <v>10.6</v>
      </c>
      <c r="U47" t="s">
        <v>72</v>
      </c>
    </row>
    <row r="48" spans="1:21" x14ac:dyDescent="0.3">
      <c r="E48" t="s">
        <v>13</v>
      </c>
      <c r="F48" s="7">
        <v>56</v>
      </c>
      <c r="G48" s="7" t="s">
        <v>7</v>
      </c>
      <c r="H48" s="7">
        <v>2</v>
      </c>
      <c r="I48" s="7">
        <v>38</v>
      </c>
      <c r="J48" s="7"/>
      <c r="K48" s="7">
        <v>1</v>
      </c>
      <c r="L48" s="7">
        <v>574</v>
      </c>
      <c r="M48">
        <v>574</v>
      </c>
    </row>
    <row r="50" spans="1:19" x14ac:dyDescent="0.3">
      <c r="A50">
        <v>10</v>
      </c>
      <c r="B50" t="s">
        <v>51</v>
      </c>
      <c r="C50" t="s">
        <v>87</v>
      </c>
      <c r="D50" s="1">
        <v>42559</v>
      </c>
      <c r="E50" t="s">
        <v>13</v>
      </c>
      <c r="F50">
        <v>33</v>
      </c>
      <c r="G50" t="s">
        <v>7</v>
      </c>
      <c r="H50">
        <v>2.5</v>
      </c>
      <c r="I50">
        <v>39</v>
      </c>
      <c r="K50">
        <v>1</v>
      </c>
      <c r="L50">
        <v>599</v>
      </c>
      <c r="M50">
        <v>599</v>
      </c>
      <c r="N50" s="4" t="s">
        <v>12</v>
      </c>
      <c r="O50">
        <v>-130</v>
      </c>
      <c r="P50">
        <v>-140</v>
      </c>
      <c r="Q50">
        <v>200</v>
      </c>
      <c r="R50">
        <v>70</v>
      </c>
      <c r="S50">
        <v>10.6</v>
      </c>
    </row>
    <row r="51" spans="1:19" x14ac:dyDescent="0.3">
      <c r="E51" t="s">
        <v>13</v>
      </c>
      <c r="F51">
        <v>33</v>
      </c>
      <c r="G51" t="s">
        <v>8</v>
      </c>
      <c r="H51">
        <v>2</v>
      </c>
      <c r="I51">
        <f>(I50+1)</f>
        <v>40</v>
      </c>
      <c r="K51">
        <v>1</v>
      </c>
      <c r="L51">
        <v>599</v>
      </c>
      <c r="M51">
        <v>599</v>
      </c>
    </row>
    <row r="52" spans="1:19" x14ac:dyDescent="0.3">
      <c r="E52" t="s">
        <v>13</v>
      </c>
      <c r="F52" s="2">
        <v>56</v>
      </c>
      <c r="G52" s="2" t="s">
        <v>7</v>
      </c>
      <c r="H52" s="2">
        <v>2.5</v>
      </c>
      <c r="I52" s="2">
        <f t="shared" ref="I52:I54" si="2">(I51+1)</f>
        <v>41</v>
      </c>
      <c r="J52" s="2" t="s">
        <v>80</v>
      </c>
      <c r="K52" s="2">
        <v>1</v>
      </c>
      <c r="L52" s="2">
        <v>599</v>
      </c>
      <c r="M52" s="2">
        <v>599</v>
      </c>
    </row>
    <row r="53" spans="1:19" x14ac:dyDescent="0.3">
      <c r="E53" t="s">
        <v>13</v>
      </c>
      <c r="F53">
        <v>72</v>
      </c>
      <c r="G53" t="s">
        <v>7</v>
      </c>
      <c r="H53">
        <v>2</v>
      </c>
      <c r="I53">
        <f t="shared" si="2"/>
        <v>42</v>
      </c>
      <c r="K53">
        <v>1</v>
      </c>
      <c r="L53">
        <v>599</v>
      </c>
      <c r="M53">
        <v>599</v>
      </c>
    </row>
    <row r="54" spans="1:19" x14ac:dyDescent="0.3">
      <c r="E54" t="s">
        <v>20</v>
      </c>
      <c r="F54">
        <v>149</v>
      </c>
      <c r="G54" t="s">
        <v>7</v>
      </c>
      <c r="H54">
        <v>3.5</v>
      </c>
      <c r="I54">
        <f t="shared" si="2"/>
        <v>43</v>
      </c>
      <c r="K54">
        <v>1</v>
      </c>
      <c r="L54">
        <v>599</v>
      </c>
      <c r="M54">
        <v>599</v>
      </c>
    </row>
    <row r="56" spans="1:19" x14ac:dyDescent="0.3">
      <c r="A56" s="7">
        <v>11</v>
      </c>
      <c r="B56" s="7" t="s">
        <v>52</v>
      </c>
      <c r="C56" t="s">
        <v>87</v>
      </c>
      <c r="D56" s="15">
        <v>42560</v>
      </c>
      <c r="E56" s="7" t="s">
        <v>13</v>
      </c>
      <c r="F56" s="7">
        <v>33</v>
      </c>
      <c r="G56" s="7" t="s">
        <v>7</v>
      </c>
      <c r="H56" s="7">
        <v>2</v>
      </c>
      <c r="I56" s="7">
        <v>44</v>
      </c>
      <c r="K56" s="7">
        <v>1</v>
      </c>
      <c r="L56" s="7">
        <v>504</v>
      </c>
      <c r="M56" s="7">
        <v>649</v>
      </c>
      <c r="N56" s="16" t="s">
        <v>12</v>
      </c>
      <c r="O56" s="7">
        <v>-130</v>
      </c>
      <c r="P56" s="7">
        <v>-140</v>
      </c>
      <c r="Q56" s="7">
        <v>200</v>
      </c>
      <c r="R56" s="7">
        <v>70</v>
      </c>
      <c r="S56" s="7">
        <v>10.65</v>
      </c>
    </row>
    <row r="57" spans="1:19" x14ac:dyDescent="0.3">
      <c r="A57" s="16" t="s">
        <v>74</v>
      </c>
      <c r="B57" s="16"/>
      <c r="C57" s="16"/>
      <c r="D57" s="19"/>
      <c r="E57" s="7" t="s">
        <v>13</v>
      </c>
      <c r="F57" s="7">
        <v>33</v>
      </c>
      <c r="G57" s="7" t="s">
        <v>8</v>
      </c>
      <c r="H57" s="7">
        <v>2.5</v>
      </c>
      <c r="I57" s="7">
        <f>(I56+1)</f>
        <v>45</v>
      </c>
      <c r="K57" s="7">
        <v>1</v>
      </c>
      <c r="L57" s="7">
        <v>504</v>
      </c>
      <c r="M57" s="7">
        <v>649</v>
      </c>
      <c r="N57" s="16"/>
    </row>
    <row r="58" spans="1:19" x14ac:dyDescent="0.3">
      <c r="A58" s="16" t="s">
        <v>75</v>
      </c>
      <c r="B58" s="16"/>
      <c r="C58" s="16"/>
      <c r="D58" s="19"/>
      <c r="E58" s="7" t="s">
        <v>13</v>
      </c>
      <c r="F58" s="7">
        <v>36</v>
      </c>
      <c r="G58" s="7" t="s">
        <v>7</v>
      </c>
      <c r="H58" s="7">
        <v>3</v>
      </c>
      <c r="I58" s="7">
        <f t="shared" ref="I58:I62" si="3">(I57+1)</f>
        <v>46</v>
      </c>
      <c r="K58" s="7">
        <v>1</v>
      </c>
      <c r="L58" s="7">
        <v>504</v>
      </c>
      <c r="M58" s="7">
        <v>649</v>
      </c>
      <c r="N58" s="16"/>
    </row>
    <row r="59" spans="1:19" x14ac:dyDescent="0.3">
      <c r="D59" s="15"/>
      <c r="E59" s="7" t="s">
        <v>13</v>
      </c>
      <c r="F59" s="7">
        <v>44</v>
      </c>
      <c r="G59" s="7" t="s">
        <v>7</v>
      </c>
      <c r="H59" s="7">
        <v>3</v>
      </c>
      <c r="I59" s="7">
        <f t="shared" si="3"/>
        <v>47</v>
      </c>
      <c r="K59" s="7">
        <v>1</v>
      </c>
      <c r="L59" s="7">
        <v>504</v>
      </c>
      <c r="M59" s="7">
        <v>649</v>
      </c>
      <c r="N59" s="16"/>
    </row>
    <row r="60" spans="1:19" x14ac:dyDescent="0.3">
      <c r="D60" s="15"/>
      <c r="E60" s="7" t="s">
        <v>13</v>
      </c>
      <c r="F60" s="7">
        <v>44</v>
      </c>
      <c r="G60" s="7" t="s">
        <v>8</v>
      </c>
      <c r="H60" s="7">
        <v>3</v>
      </c>
      <c r="I60" s="7">
        <f t="shared" si="3"/>
        <v>48</v>
      </c>
      <c r="K60" s="7">
        <v>1</v>
      </c>
      <c r="L60" s="7">
        <v>504</v>
      </c>
      <c r="M60" s="7">
        <v>649</v>
      </c>
      <c r="N60" s="16"/>
    </row>
    <row r="61" spans="1:19" x14ac:dyDescent="0.3">
      <c r="D61" s="15"/>
      <c r="E61" s="7" t="s">
        <v>13</v>
      </c>
      <c r="F61" s="7">
        <v>64</v>
      </c>
      <c r="G61" s="7" t="s">
        <v>7</v>
      </c>
      <c r="H61" s="7">
        <v>2.5</v>
      </c>
      <c r="I61" s="7">
        <f t="shared" si="3"/>
        <v>49</v>
      </c>
      <c r="K61" s="7">
        <v>1</v>
      </c>
      <c r="L61" s="7">
        <v>504</v>
      </c>
      <c r="M61" s="7">
        <v>649</v>
      </c>
      <c r="N61" s="16"/>
    </row>
    <row r="62" spans="1:19" x14ac:dyDescent="0.3">
      <c r="D62" s="15"/>
      <c r="E62" s="7" t="s">
        <v>13</v>
      </c>
      <c r="F62" s="7">
        <v>72</v>
      </c>
      <c r="G62" s="7" t="s">
        <v>7</v>
      </c>
      <c r="H62" s="7">
        <v>2.5</v>
      </c>
      <c r="I62" s="7">
        <f t="shared" si="3"/>
        <v>50</v>
      </c>
      <c r="K62" s="7">
        <v>1</v>
      </c>
      <c r="L62" s="7">
        <v>504</v>
      </c>
      <c r="M62" s="7">
        <v>649</v>
      </c>
      <c r="N62" s="16"/>
    </row>
    <row r="64" spans="1:19" x14ac:dyDescent="0.3">
      <c r="A64">
        <v>12</v>
      </c>
      <c r="B64" t="s">
        <v>53</v>
      </c>
      <c r="C64" t="s">
        <v>87</v>
      </c>
      <c r="D64" s="1">
        <v>42562</v>
      </c>
      <c r="E64" t="s">
        <v>13</v>
      </c>
      <c r="F64" s="2">
        <v>56</v>
      </c>
      <c r="G64" s="2" t="s">
        <v>7</v>
      </c>
      <c r="H64" s="2">
        <v>2</v>
      </c>
      <c r="I64" s="2">
        <v>51</v>
      </c>
      <c r="J64" s="2" t="s">
        <v>81</v>
      </c>
      <c r="K64" s="2">
        <v>1</v>
      </c>
      <c r="L64" s="2">
        <v>719</v>
      </c>
      <c r="M64" s="2">
        <v>719</v>
      </c>
      <c r="N64" s="4" t="s">
        <v>12</v>
      </c>
      <c r="O64" s="7">
        <v>-120</v>
      </c>
      <c r="P64" s="7">
        <v>-150</v>
      </c>
      <c r="Q64" s="7">
        <v>200</v>
      </c>
      <c r="R64" s="7">
        <v>70</v>
      </c>
      <c r="S64" s="7">
        <v>10.7</v>
      </c>
    </row>
    <row r="65" spans="1:20" x14ac:dyDescent="0.3">
      <c r="E65" t="s">
        <v>13</v>
      </c>
      <c r="F65">
        <v>72</v>
      </c>
      <c r="G65" t="s">
        <v>7</v>
      </c>
      <c r="H65">
        <v>2</v>
      </c>
      <c r="I65">
        <f>(I64+1)</f>
        <v>52</v>
      </c>
      <c r="K65" s="7">
        <v>1</v>
      </c>
      <c r="L65" s="7">
        <v>719</v>
      </c>
      <c r="M65" s="7">
        <v>719</v>
      </c>
    </row>
    <row r="66" spans="1:20" x14ac:dyDescent="0.3">
      <c r="E66" t="s">
        <v>13</v>
      </c>
      <c r="F66">
        <v>77</v>
      </c>
      <c r="G66" t="s">
        <v>7</v>
      </c>
      <c r="H66">
        <v>2.5</v>
      </c>
      <c r="I66">
        <f t="shared" ref="I66:I67" si="4">(I65+1)</f>
        <v>53</v>
      </c>
      <c r="K66" s="7">
        <v>1</v>
      </c>
      <c r="L66" s="7">
        <v>719</v>
      </c>
      <c r="M66" s="7">
        <v>719</v>
      </c>
    </row>
    <row r="67" spans="1:20" x14ac:dyDescent="0.3">
      <c r="E67" t="s">
        <v>13</v>
      </c>
      <c r="F67">
        <v>123</v>
      </c>
      <c r="G67" t="s">
        <v>7</v>
      </c>
      <c r="H67">
        <v>2</v>
      </c>
      <c r="I67">
        <f t="shared" si="4"/>
        <v>54</v>
      </c>
      <c r="K67" s="7">
        <v>1</v>
      </c>
      <c r="L67" s="7">
        <v>702</v>
      </c>
      <c r="M67" s="7">
        <v>719</v>
      </c>
    </row>
    <row r="69" spans="1:20" x14ac:dyDescent="0.3">
      <c r="A69">
        <v>13</v>
      </c>
      <c r="B69" t="s">
        <v>54</v>
      </c>
      <c r="C69" t="s">
        <v>87</v>
      </c>
      <c r="D69" s="1">
        <v>42563</v>
      </c>
      <c r="E69" t="s">
        <v>13</v>
      </c>
      <c r="F69" s="2">
        <v>56</v>
      </c>
      <c r="G69" s="2" t="s">
        <v>7</v>
      </c>
      <c r="H69" s="2">
        <v>2</v>
      </c>
      <c r="I69" s="2">
        <v>55</v>
      </c>
      <c r="J69" s="2" t="s">
        <v>82</v>
      </c>
      <c r="K69" s="2">
        <v>1</v>
      </c>
      <c r="L69" s="2">
        <v>736</v>
      </c>
      <c r="M69" s="2">
        <v>736</v>
      </c>
      <c r="N69" s="4" t="s">
        <v>12</v>
      </c>
      <c r="O69" s="7">
        <v>-130</v>
      </c>
      <c r="P69" s="7">
        <v>-120</v>
      </c>
      <c r="Q69" s="7">
        <v>200</v>
      </c>
      <c r="R69" s="7">
        <v>70</v>
      </c>
      <c r="S69" s="7">
        <v>10.7</v>
      </c>
      <c r="T69" s="7"/>
    </row>
    <row r="70" spans="1:20" x14ac:dyDescent="0.3">
      <c r="E70" t="s">
        <v>13</v>
      </c>
      <c r="F70">
        <v>64</v>
      </c>
      <c r="G70" t="s">
        <v>7</v>
      </c>
      <c r="H70">
        <v>2.5</v>
      </c>
      <c r="I70">
        <f>(I69+1)</f>
        <v>56</v>
      </c>
      <c r="K70">
        <v>1</v>
      </c>
      <c r="L70">
        <v>736</v>
      </c>
      <c r="M70" s="7">
        <v>736</v>
      </c>
    </row>
    <row r="71" spans="1:20" x14ac:dyDescent="0.3">
      <c r="E71" t="s">
        <v>13</v>
      </c>
      <c r="F71" s="2">
        <v>77</v>
      </c>
      <c r="G71" s="2" t="s">
        <v>7</v>
      </c>
      <c r="H71" s="2">
        <v>2.5</v>
      </c>
      <c r="I71" s="2">
        <f t="shared" ref="I71:I73" si="5">(I70+1)</f>
        <v>57</v>
      </c>
      <c r="J71" s="2" t="s">
        <v>26</v>
      </c>
      <c r="K71" s="2">
        <v>1</v>
      </c>
      <c r="L71" s="2">
        <v>736</v>
      </c>
      <c r="M71" s="2">
        <v>736</v>
      </c>
    </row>
    <row r="72" spans="1:20" x14ac:dyDescent="0.3">
      <c r="E72" t="s">
        <v>13</v>
      </c>
      <c r="F72">
        <v>82</v>
      </c>
      <c r="G72" t="s">
        <v>7</v>
      </c>
      <c r="H72">
        <v>2.5</v>
      </c>
      <c r="I72">
        <f t="shared" si="5"/>
        <v>58</v>
      </c>
      <c r="K72">
        <v>1</v>
      </c>
      <c r="L72">
        <v>736</v>
      </c>
      <c r="M72" s="7">
        <v>736</v>
      </c>
    </row>
    <row r="73" spans="1:20" x14ac:dyDescent="0.3">
      <c r="E73" t="s">
        <v>20</v>
      </c>
      <c r="F73">
        <v>157</v>
      </c>
      <c r="G73" t="s">
        <v>7</v>
      </c>
      <c r="H73">
        <v>3.5</v>
      </c>
      <c r="I73">
        <f t="shared" si="5"/>
        <v>59</v>
      </c>
      <c r="K73">
        <v>1</v>
      </c>
      <c r="L73">
        <v>730</v>
      </c>
      <c r="M73" s="7">
        <v>736</v>
      </c>
    </row>
    <row r="75" spans="1:20" x14ac:dyDescent="0.3">
      <c r="A75">
        <v>14</v>
      </c>
      <c r="B75" t="s">
        <v>55</v>
      </c>
      <c r="C75" t="s">
        <v>87</v>
      </c>
      <c r="D75" s="1">
        <v>42564</v>
      </c>
      <c r="E75" t="s">
        <v>13</v>
      </c>
      <c r="F75" s="2">
        <v>77</v>
      </c>
      <c r="G75" s="2" t="s">
        <v>7</v>
      </c>
      <c r="H75" s="2">
        <v>2.5</v>
      </c>
      <c r="I75" s="2">
        <v>60</v>
      </c>
      <c r="J75" s="2" t="s">
        <v>27</v>
      </c>
      <c r="K75" s="2">
        <v>1</v>
      </c>
      <c r="L75" s="2">
        <v>705</v>
      </c>
      <c r="M75" s="2">
        <v>705</v>
      </c>
      <c r="N75" s="4" t="s">
        <v>12</v>
      </c>
      <c r="O75" s="7">
        <v>-150</v>
      </c>
      <c r="P75" s="7">
        <v>-120</v>
      </c>
      <c r="Q75" s="7">
        <v>200</v>
      </c>
      <c r="R75" s="7">
        <v>70</v>
      </c>
      <c r="S75" s="7">
        <v>10.7</v>
      </c>
      <c r="T75" s="7"/>
    </row>
    <row r="76" spans="1:20" x14ac:dyDescent="0.3">
      <c r="O76" s="7"/>
      <c r="P76" s="7"/>
      <c r="Q76" s="7"/>
      <c r="R76" s="7"/>
      <c r="S76" s="7"/>
      <c r="T76" s="7"/>
    </row>
    <row r="77" spans="1:20" x14ac:dyDescent="0.3">
      <c r="A77">
        <v>15</v>
      </c>
      <c r="B77" t="s">
        <v>56</v>
      </c>
      <c r="C77" t="s">
        <v>87</v>
      </c>
      <c r="D77" s="1">
        <v>42565</v>
      </c>
      <c r="E77" t="s">
        <v>13</v>
      </c>
      <c r="F77">
        <v>72</v>
      </c>
      <c r="G77" t="s">
        <v>7</v>
      </c>
      <c r="H77">
        <v>2.5</v>
      </c>
      <c r="I77">
        <v>61</v>
      </c>
      <c r="K77">
        <v>7</v>
      </c>
      <c r="L77">
        <v>630</v>
      </c>
      <c r="M77">
        <v>630</v>
      </c>
      <c r="N77" s="4" t="s">
        <v>12</v>
      </c>
      <c r="O77">
        <v>-140</v>
      </c>
      <c r="P77">
        <v>-130</v>
      </c>
      <c r="Q77">
        <v>200</v>
      </c>
      <c r="R77">
        <v>70</v>
      </c>
      <c r="S77">
        <v>10.75</v>
      </c>
    </row>
    <row r="78" spans="1:20" x14ac:dyDescent="0.3">
      <c r="E78" t="s">
        <v>13</v>
      </c>
      <c r="F78" s="2">
        <v>77</v>
      </c>
      <c r="G78" s="2" t="s">
        <v>7</v>
      </c>
      <c r="H78" s="2">
        <v>2.5</v>
      </c>
      <c r="I78" s="2">
        <v>62</v>
      </c>
      <c r="J78" s="2" t="s">
        <v>17</v>
      </c>
      <c r="K78" s="2">
        <v>1</v>
      </c>
      <c r="L78" s="2">
        <v>630</v>
      </c>
      <c r="M78" s="2">
        <v>630</v>
      </c>
    </row>
    <row r="80" spans="1:20" x14ac:dyDescent="0.3">
      <c r="A80">
        <v>16</v>
      </c>
      <c r="B80" t="s">
        <v>57</v>
      </c>
      <c r="C80" t="s">
        <v>87</v>
      </c>
      <c r="D80" s="1">
        <v>42566</v>
      </c>
      <c r="E80" t="s">
        <v>13</v>
      </c>
      <c r="F80">
        <v>39</v>
      </c>
      <c r="G80" t="s">
        <v>7</v>
      </c>
      <c r="H80">
        <v>2.5</v>
      </c>
      <c r="I80">
        <v>63</v>
      </c>
      <c r="K80">
        <v>1</v>
      </c>
      <c r="L80">
        <v>692</v>
      </c>
      <c r="M80">
        <v>692</v>
      </c>
      <c r="N80" s="4" t="s">
        <v>12</v>
      </c>
      <c r="O80">
        <v>-120</v>
      </c>
      <c r="P80">
        <v>-125</v>
      </c>
      <c r="Q80">
        <v>200</v>
      </c>
      <c r="R80">
        <v>70</v>
      </c>
      <c r="S80">
        <v>10.8</v>
      </c>
    </row>
    <row r="81" spans="1:20" x14ac:dyDescent="0.3">
      <c r="E81" t="s">
        <v>13</v>
      </c>
      <c r="F81" s="2">
        <v>77</v>
      </c>
      <c r="G81" s="2" t="s">
        <v>7</v>
      </c>
      <c r="H81" s="2">
        <v>2.5</v>
      </c>
      <c r="I81" s="2">
        <f>(I80+1)</f>
        <v>64</v>
      </c>
      <c r="J81" s="2" t="s">
        <v>18</v>
      </c>
      <c r="K81" s="2">
        <v>1</v>
      </c>
      <c r="L81" s="2">
        <v>692</v>
      </c>
      <c r="M81" s="2">
        <v>692</v>
      </c>
    </row>
    <row r="82" spans="1:20" x14ac:dyDescent="0.3">
      <c r="E82" t="s">
        <v>13</v>
      </c>
      <c r="F82">
        <v>82</v>
      </c>
      <c r="G82" t="s">
        <v>7</v>
      </c>
      <c r="H82">
        <v>2.5</v>
      </c>
      <c r="I82" s="7">
        <f>(I81+1)</f>
        <v>65</v>
      </c>
      <c r="K82">
        <v>4</v>
      </c>
      <c r="L82">
        <v>692</v>
      </c>
      <c r="M82">
        <v>692</v>
      </c>
    </row>
    <row r="83" spans="1:20" x14ac:dyDescent="0.3">
      <c r="E83" t="s">
        <v>13</v>
      </c>
      <c r="F83">
        <v>101</v>
      </c>
      <c r="G83" t="s">
        <v>7</v>
      </c>
      <c r="H83">
        <v>2.5</v>
      </c>
      <c r="I83" s="7">
        <f>(I82+1)</f>
        <v>66</v>
      </c>
      <c r="K83">
        <v>44</v>
      </c>
      <c r="L83">
        <v>692</v>
      </c>
      <c r="M83">
        <v>692</v>
      </c>
    </row>
    <row r="85" spans="1:20" x14ac:dyDescent="0.3">
      <c r="A85">
        <v>17</v>
      </c>
      <c r="B85" t="s">
        <v>58</v>
      </c>
      <c r="C85" t="s">
        <v>87</v>
      </c>
      <c r="D85" s="1">
        <v>42569</v>
      </c>
      <c r="E85" t="s">
        <v>13</v>
      </c>
      <c r="F85" s="2">
        <v>56</v>
      </c>
      <c r="G85" s="2" t="s">
        <v>7</v>
      </c>
      <c r="H85" s="2">
        <v>2</v>
      </c>
      <c r="I85" s="2">
        <v>67</v>
      </c>
      <c r="J85" s="2" t="s">
        <v>79</v>
      </c>
      <c r="K85" s="2">
        <v>1</v>
      </c>
      <c r="L85" s="2">
        <v>751</v>
      </c>
      <c r="M85" s="2">
        <v>751</v>
      </c>
      <c r="N85" s="4" t="s">
        <v>12</v>
      </c>
      <c r="O85" s="7">
        <v>-145</v>
      </c>
      <c r="P85" s="7">
        <v>-140</v>
      </c>
      <c r="Q85" s="7">
        <v>200</v>
      </c>
      <c r="R85" s="7">
        <v>70</v>
      </c>
      <c r="S85" s="7">
        <v>10.9</v>
      </c>
    </row>
    <row r="86" spans="1:20" x14ac:dyDescent="0.3">
      <c r="E86" t="s">
        <v>13</v>
      </c>
      <c r="F86">
        <v>66</v>
      </c>
      <c r="G86" t="s">
        <v>7</v>
      </c>
      <c r="H86">
        <v>2</v>
      </c>
      <c r="I86">
        <v>68</v>
      </c>
      <c r="K86">
        <v>28</v>
      </c>
      <c r="L86">
        <v>751</v>
      </c>
      <c r="M86" s="7">
        <v>751</v>
      </c>
    </row>
    <row r="87" spans="1:20" x14ac:dyDescent="0.3">
      <c r="E87" t="s">
        <v>13</v>
      </c>
      <c r="F87" s="2">
        <v>68</v>
      </c>
      <c r="G87" s="2" t="s">
        <v>7</v>
      </c>
      <c r="H87" s="2">
        <v>2</v>
      </c>
      <c r="I87" s="2">
        <v>69</v>
      </c>
      <c r="J87" s="2" t="s">
        <v>33</v>
      </c>
      <c r="K87" s="2">
        <v>87</v>
      </c>
      <c r="L87" s="2">
        <v>751</v>
      </c>
      <c r="M87" s="2">
        <v>751</v>
      </c>
    </row>
    <row r="88" spans="1:20" x14ac:dyDescent="0.3">
      <c r="E88" t="s">
        <v>13</v>
      </c>
      <c r="F88">
        <v>123</v>
      </c>
      <c r="G88" t="s">
        <v>7</v>
      </c>
      <c r="H88">
        <v>2.5</v>
      </c>
      <c r="I88">
        <v>70</v>
      </c>
      <c r="K88">
        <v>1</v>
      </c>
      <c r="L88">
        <v>751</v>
      </c>
      <c r="M88" s="7">
        <v>751</v>
      </c>
    </row>
    <row r="90" spans="1:20" x14ac:dyDescent="0.3">
      <c r="A90">
        <v>18</v>
      </c>
      <c r="B90" t="s">
        <v>59</v>
      </c>
      <c r="C90" t="s">
        <v>87</v>
      </c>
      <c r="D90" s="1">
        <v>42570</v>
      </c>
      <c r="E90" t="s">
        <v>13</v>
      </c>
      <c r="F90" s="2">
        <v>56</v>
      </c>
      <c r="G90" s="2" t="s">
        <v>7</v>
      </c>
      <c r="H90" s="2">
        <v>2</v>
      </c>
      <c r="I90" s="2">
        <v>71</v>
      </c>
      <c r="J90" s="2" t="s">
        <v>19</v>
      </c>
      <c r="K90" s="2">
        <v>1</v>
      </c>
      <c r="L90" s="2">
        <v>814</v>
      </c>
      <c r="M90" s="2">
        <v>814</v>
      </c>
      <c r="N90" s="4" t="s">
        <v>12</v>
      </c>
      <c r="O90" s="7">
        <v>-150</v>
      </c>
      <c r="P90" s="7">
        <v>-140</v>
      </c>
      <c r="Q90" s="7">
        <v>200</v>
      </c>
      <c r="R90" s="7">
        <v>70</v>
      </c>
      <c r="S90" s="7">
        <v>10.95</v>
      </c>
      <c r="T90" s="7"/>
    </row>
    <row r="91" spans="1:20" x14ac:dyDescent="0.3">
      <c r="E91" t="s">
        <v>13</v>
      </c>
      <c r="F91">
        <v>72</v>
      </c>
      <c r="G91" t="s">
        <v>7</v>
      </c>
      <c r="H91">
        <v>2.5</v>
      </c>
      <c r="I91">
        <v>72</v>
      </c>
      <c r="K91">
        <v>1</v>
      </c>
      <c r="L91">
        <v>814</v>
      </c>
      <c r="M91">
        <v>814</v>
      </c>
    </row>
    <row r="93" spans="1:20" x14ac:dyDescent="0.3">
      <c r="A93">
        <v>19</v>
      </c>
      <c r="B93" t="s">
        <v>60</v>
      </c>
      <c r="C93" t="s">
        <v>87</v>
      </c>
      <c r="D93" s="1">
        <v>42571</v>
      </c>
      <c r="E93" t="s">
        <v>13</v>
      </c>
      <c r="F93">
        <v>18</v>
      </c>
      <c r="G93" t="s">
        <v>7</v>
      </c>
      <c r="H93">
        <v>2.5</v>
      </c>
      <c r="I93">
        <v>73</v>
      </c>
      <c r="K93">
        <v>1</v>
      </c>
      <c r="L93">
        <v>781</v>
      </c>
      <c r="M93">
        <v>781</v>
      </c>
      <c r="N93" s="4" t="s">
        <v>12</v>
      </c>
      <c r="O93">
        <v>-150</v>
      </c>
      <c r="P93">
        <v>-110</v>
      </c>
      <c r="Q93">
        <v>200</v>
      </c>
      <c r="R93">
        <v>70</v>
      </c>
      <c r="S93">
        <v>11.05</v>
      </c>
    </row>
    <row r="94" spans="1:20" x14ac:dyDescent="0.3">
      <c r="E94" t="s">
        <v>13</v>
      </c>
      <c r="F94">
        <v>72</v>
      </c>
      <c r="G94" t="s">
        <v>7</v>
      </c>
      <c r="H94">
        <v>2.5</v>
      </c>
      <c r="I94">
        <v>74</v>
      </c>
      <c r="K94">
        <v>1</v>
      </c>
      <c r="L94">
        <v>781</v>
      </c>
      <c r="M94">
        <v>781</v>
      </c>
    </row>
    <row r="96" spans="1:20" x14ac:dyDescent="0.3">
      <c r="A96">
        <v>20</v>
      </c>
      <c r="B96" t="s">
        <v>61</v>
      </c>
      <c r="C96" t="s">
        <v>87</v>
      </c>
      <c r="D96" s="1">
        <v>42572</v>
      </c>
      <c r="E96" t="s">
        <v>13</v>
      </c>
      <c r="F96">
        <v>35</v>
      </c>
      <c r="G96" t="s">
        <v>7</v>
      </c>
      <c r="H96">
        <v>2.5</v>
      </c>
      <c r="I96">
        <v>75</v>
      </c>
      <c r="K96">
        <v>1</v>
      </c>
      <c r="L96">
        <v>742</v>
      </c>
      <c r="M96">
        <v>742</v>
      </c>
      <c r="N96" s="4" t="s">
        <v>12</v>
      </c>
      <c r="O96">
        <v>-140</v>
      </c>
      <c r="P96">
        <v>-140</v>
      </c>
      <c r="Q96">
        <v>200</v>
      </c>
      <c r="R96">
        <v>70</v>
      </c>
      <c r="S96">
        <v>11</v>
      </c>
    </row>
    <row r="97" spans="1:19" x14ac:dyDescent="0.3">
      <c r="E97" t="s">
        <v>13</v>
      </c>
      <c r="F97">
        <v>69</v>
      </c>
      <c r="G97" t="s">
        <v>7</v>
      </c>
      <c r="H97">
        <v>2.5</v>
      </c>
      <c r="I97">
        <f>(I96+1)</f>
        <v>76</v>
      </c>
      <c r="K97">
        <v>1</v>
      </c>
      <c r="L97">
        <v>742</v>
      </c>
      <c r="M97">
        <v>742</v>
      </c>
    </row>
    <row r="98" spans="1:19" x14ac:dyDescent="0.3">
      <c r="E98" t="s">
        <v>13</v>
      </c>
      <c r="F98">
        <v>72</v>
      </c>
      <c r="G98" t="s">
        <v>7</v>
      </c>
      <c r="H98">
        <v>2.5</v>
      </c>
      <c r="I98">
        <f t="shared" ref="I98:I100" si="6">(I97+1)</f>
        <v>77</v>
      </c>
      <c r="K98">
        <v>1</v>
      </c>
      <c r="L98">
        <v>742</v>
      </c>
      <c r="M98">
        <v>742</v>
      </c>
    </row>
    <row r="99" spans="1:19" x14ac:dyDescent="0.3">
      <c r="E99" t="s">
        <v>13</v>
      </c>
      <c r="F99">
        <v>101</v>
      </c>
      <c r="G99" t="s">
        <v>7</v>
      </c>
      <c r="H99">
        <v>2.5</v>
      </c>
      <c r="I99">
        <f t="shared" si="6"/>
        <v>78</v>
      </c>
      <c r="K99">
        <v>1</v>
      </c>
      <c r="L99">
        <v>742</v>
      </c>
      <c r="M99">
        <v>742</v>
      </c>
    </row>
    <row r="100" spans="1:19" x14ac:dyDescent="0.3">
      <c r="E100" t="s">
        <v>20</v>
      </c>
      <c r="F100">
        <v>189</v>
      </c>
      <c r="G100" t="s">
        <v>7</v>
      </c>
      <c r="H100">
        <v>3.5</v>
      </c>
      <c r="I100">
        <f t="shared" si="6"/>
        <v>79</v>
      </c>
      <c r="K100">
        <v>1</v>
      </c>
      <c r="L100">
        <v>742</v>
      </c>
      <c r="M100">
        <v>742</v>
      </c>
    </row>
    <row r="102" spans="1:19" x14ac:dyDescent="0.3">
      <c r="A102">
        <v>21</v>
      </c>
      <c r="B102" t="s">
        <v>62</v>
      </c>
      <c r="C102" t="s">
        <v>87</v>
      </c>
      <c r="D102" s="1">
        <v>42573</v>
      </c>
      <c r="E102" t="s">
        <v>13</v>
      </c>
      <c r="F102" s="2">
        <v>72</v>
      </c>
      <c r="G102" s="2" t="s">
        <v>7</v>
      </c>
      <c r="H102" s="2">
        <v>2.5</v>
      </c>
      <c r="I102" s="2">
        <v>80</v>
      </c>
      <c r="J102" s="2" t="s">
        <v>35</v>
      </c>
      <c r="K102" s="2">
        <v>1</v>
      </c>
      <c r="L102" s="2">
        <v>751</v>
      </c>
      <c r="M102" s="2">
        <v>751</v>
      </c>
      <c r="N102" s="4" t="s">
        <v>12</v>
      </c>
      <c r="O102" s="7">
        <v>-130</v>
      </c>
      <c r="P102" s="7">
        <v>-115</v>
      </c>
      <c r="Q102" s="7">
        <v>200</v>
      </c>
      <c r="R102" s="7">
        <v>70</v>
      </c>
      <c r="S102" s="7">
        <v>11.1</v>
      </c>
    </row>
    <row r="103" spans="1:19" x14ac:dyDescent="0.3">
      <c r="E103" t="s">
        <v>13</v>
      </c>
      <c r="F103" s="2">
        <v>101</v>
      </c>
      <c r="G103" s="2" t="s">
        <v>7</v>
      </c>
      <c r="H103" s="2">
        <v>2.5</v>
      </c>
      <c r="I103" s="2">
        <v>81</v>
      </c>
      <c r="J103" s="2" t="s">
        <v>36</v>
      </c>
      <c r="K103" s="2">
        <v>1</v>
      </c>
      <c r="L103" s="2">
        <v>751</v>
      </c>
      <c r="M103" s="2">
        <v>751</v>
      </c>
    </row>
    <row r="106" spans="1:19" x14ac:dyDescent="0.3">
      <c r="B106" t="s">
        <v>37</v>
      </c>
    </row>
    <row r="107" spans="1:19" x14ac:dyDescent="0.3">
      <c r="B107" t="s">
        <v>25</v>
      </c>
    </row>
    <row r="108" spans="1:19" x14ac:dyDescent="0.3">
      <c r="B108" s="3"/>
      <c r="C108" s="3"/>
      <c r="D108" s="9"/>
      <c r="E108" s="3"/>
      <c r="F108" s="3"/>
      <c r="N10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1"/>
  <sheetViews>
    <sheetView tabSelected="1" workbookViewId="0">
      <selection activeCell="E14" sqref="E14:M14"/>
    </sheetView>
  </sheetViews>
  <sheetFormatPr defaultRowHeight="14.4" x14ac:dyDescent="0.3"/>
  <cols>
    <col min="2" max="2" width="25.5546875" customWidth="1"/>
    <col min="3" max="3" width="18.21875" customWidth="1"/>
    <col min="4" max="4" width="9.5546875" customWidth="1"/>
    <col min="8" max="8" width="15.88671875" customWidth="1"/>
    <col min="10" max="11" width="11.33203125" bestFit="1" customWidth="1"/>
    <col min="12" max="12" width="10.33203125" bestFit="1" customWidth="1"/>
    <col min="13" max="13" width="14.5546875" bestFit="1" customWidth="1"/>
    <col min="14" max="14" width="19.6640625" bestFit="1" customWidth="1"/>
    <col min="15" max="15" width="19.77734375" bestFit="1" customWidth="1"/>
    <col min="16" max="16" width="16.109375" bestFit="1" customWidth="1"/>
    <col min="17" max="17" width="9.6640625" bestFit="1" customWidth="1"/>
    <col min="19" max="19" width="25.109375" bestFit="1" customWidth="1"/>
  </cols>
  <sheetData>
    <row r="1" spans="1:19" x14ac:dyDescent="0.3">
      <c r="A1" s="3" t="s">
        <v>84</v>
      </c>
      <c r="B1" s="3"/>
    </row>
    <row r="2" spans="1:19" x14ac:dyDescent="0.3">
      <c r="A2" s="4" t="s">
        <v>0</v>
      </c>
      <c r="B2" s="4" t="s">
        <v>9</v>
      </c>
      <c r="C2" s="4" t="s">
        <v>11</v>
      </c>
      <c r="D2" s="8" t="s">
        <v>4</v>
      </c>
      <c r="E2" s="4" t="s">
        <v>39</v>
      </c>
      <c r="F2" s="4" t="s">
        <v>38</v>
      </c>
      <c r="G2" s="4" t="s">
        <v>1</v>
      </c>
      <c r="H2" s="4" t="s">
        <v>40</v>
      </c>
      <c r="I2" s="4" t="s">
        <v>22</v>
      </c>
      <c r="J2" s="4" t="s">
        <v>14</v>
      </c>
      <c r="K2" s="4" t="s">
        <v>3</v>
      </c>
      <c r="L2" s="4" t="s">
        <v>2</v>
      </c>
      <c r="M2" s="4" t="s">
        <v>66</v>
      </c>
      <c r="N2" s="4" t="s">
        <v>63</v>
      </c>
      <c r="O2" s="4" t="s">
        <v>64</v>
      </c>
      <c r="P2" s="4" t="s">
        <v>65</v>
      </c>
      <c r="Q2" s="4" t="s">
        <v>67</v>
      </c>
      <c r="R2" s="4" t="s">
        <v>68</v>
      </c>
      <c r="S2" s="4" t="s">
        <v>14</v>
      </c>
    </row>
    <row r="3" spans="1:19" x14ac:dyDescent="0.3">
      <c r="A3">
        <v>1</v>
      </c>
      <c r="B3" t="s">
        <v>43</v>
      </c>
      <c r="C3" t="s">
        <v>21</v>
      </c>
      <c r="D3" s="1">
        <v>42520</v>
      </c>
      <c r="E3" t="s">
        <v>13</v>
      </c>
      <c r="F3">
        <v>17</v>
      </c>
      <c r="G3" t="s">
        <v>7</v>
      </c>
      <c r="H3">
        <v>3</v>
      </c>
      <c r="I3">
        <v>1</v>
      </c>
      <c r="K3">
        <v>1</v>
      </c>
      <c r="L3">
        <v>774</v>
      </c>
      <c r="M3" s="4" t="s">
        <v>6</v>
      </c>
      <c r="Q3">
        <v>80</v>
      </c>
      <c r="R3" t="s">
        <v>69</v>
      </c>
    </row>
    <row r="4" spans="1:19" x14ac:dyDescent="0.3">
      <c r="E4" t="s">
        <v>13</v>
      </c>
      <c r="F4">
        <v>52</v>
      </c>
      <c r="G4" t="s">
        <v>7</v>
      </c>
      <c r="H4">
        <v>2.5</v>
      </c>
      <c r="I4">
        <v>2</v>
      </c>
      <c r="K4">
        <v>1</v>
      </c>
      <c r="L4">
        <v>774</v>
      </c>
    </row>
    <row r="5" spans="1:19" x14ac:dyDescent="0.3">
      <c r="E5" t="s">
        <v>13</v>
      </c>
      <c r="F5">
        <v>115</v>
      </c>
      <c r="G5" t="s">
        <v>7</v>
      </c>
      <c r="H5">
        <v>2.5</v>
      </c>
      <c r="I5">
        <v>4</v>
      </c>
      <c r="K5">
        <v>1</v>
      </c>
      <c r="L5">
        <v>135</v>
      </c>
    </row>
    <row r="6" spans="1:19" x14ac:dyDescent="0.3">
      <c r="E6" t="s">
        <v>13</v>
      </c>
      <c r="F6">
        <v>115</v>
      </c>
      <c r="G6" t="s">
        <v>8</v>
      </c>
      <c r="H6">
        <v>2.5</v>
      </c>
      <c r="I6">
        <v>5</v>
      </c>
      <c r="K6">
        <v>109</v>
      </c>
      <c r="L6">
        <v>774</v>
      </c>
    </row>
    <row r="7" spans="1:19" x14ac:dyDescent="0.3">
      <c r="E7" t="s">
        <v>20</v>
      </c>
      <c r="F7">
        <v>132</v>
      </c>
      <c r="G7" t="s">
        <v>7</v>
      </c>
      <c r="H7">
        <v>2</v>
      </c>
      <c r="I7">
        <v>6</v>
      </c>
      <c r="K7">
        <v>1</v>
      </c>
      <c r="L7">
        <v>774</v>
      </c>
    </row>
    <row r="8" spans="1:19" x14ac:dyDescent="0.3">
      <c r="E8" t="s">
        <v>20</v>
      </c>
      <c r="F8">
        <v>150</v>
      </c>
      <c r="G8" t="s">
        <v>7</v>
      </c>
      <c r="H8">
        <v>2</v>
      </c>
      <c r="I8">
        <v>7</v>
      </c>
      <c r="K8">
        <v>1</v>
      </c>
      <c r="L8">
        <v>774</v>
      </c>
    </row>
    <row r="9" spans="1:19" x14ac:dyDescent="0.3">
      <c r="E9" t="s">
        <v>20</v>
      </c>
      <c r="F9">
        <v>190</v>
      </c>
      <c r="G9" t="s">
        <v>7</v>
      </c>
      <c r="H9">
        <v>2</v>
      </c>
      <c r="I9">
        <v>8</v>
      </c>
      <c r="K9">
        <v>1</v>
      </c>
      <c r="L9">
        <v>774</v>
      </c>
    </row>
    <row r="11" spans="1:19" x14ac:dyDescent="0.3">
      <c r="A11">
        <v>2</v>
      </c>
      <c r="B11" t="s">
        <v>42</v>
      </c>
      <c r="C11" t="s">
        <v>21</v>
      </c>
      <c r="D11" s="1">
        <v>42521</v>
      </c>
      <c r="E11" t="s">
        <v>13</v>
      </c>
      <c r="F11">
        <v>17</v>
      </c>
      <c r="G11" t="s">
        <v>7</v>
      </c>
      <c r="H11">
        <v>3</v>
      </c>
      <c r="I11">
        <v>9</v>
      </c>
      <c r="K11">
        <v>1</v>
      </c>
      <c r="L11">
        <v>573</v>
      </c>
      <c r="M11" s="4" t="s">
        <v>12</v>
      </c>
      <c r="N11">
        <v>90</v>
      </c>
      <c r="O11">
        <v>40</v>
      </c>
      <c r="P11">
        <v>200</v>
      </c>
      <c r="Q11">
        <v>80</v>
      </c>
      <c r="R11">
        <v>10.9</v>
      </c>
    </row>
    <row r="12" spans="1:19" x14ac:dyDescent="0.3">
      <c r="E12" t="s">
        <v>13</v>
      </c>
      <c r="F12">
        <v>50</v>
      </c>
      <c r="G12" t="s">
        <v>8</v>
      </c>
      <c r="H12">
        <v>3</v>
      </c>
      <c r="I12">
        <v>10</v>
      </c>
      <c r="K12">
        <v>5</v>
      </c>
      <c r="L12">
        <v>573</v>
      </c>
    </row>
    <row r="13" spans="1:19" x14ac:dyDescent="0.3">
      <c r="E13" t="s">
        <v>13</v>
      </c>
      <c r="F13">
        <v>72</v>
      </c>
      <c r="G13" t="s">
        <v>7</v>
      </c>
      <c r="H13">
        <v>3</v>
      </c>
      <c r="I13">
        <v>11</v>
      </c>
      <c r="K13">
        <v>1</v>
      </c>
      <c r="L13">
        <v>573</v>
      </c>
    </row>
    <row r="14" spans="1:19" x14ac:dyDescent="0.3">
      <c r="E14" t="s">
        <v>13</v>
      </c>
      <c r="F14">
        <v>75</v>
      </c>
      <c r="G14" t="s">
        <v>7</v>
      </c>
      <c r="H14">
        <v>2.5</v>
      </c>
      <c r="I14">
        <v>12</v>
      </c>
      <c r="K14">
        <v>1</v>
      </c>
      <c r="L14">
        <v>573</v>
      </c>
    </row>
    <row r="15" spans="1:19" x14ac:dyDescent="0.3">
      <c r="E15" t="s">
        <v>13</v>
      </c>
      <c r="F15">
        <v>97</v>
      </c>
      <c r="G15" t="s">
        <v>7</v>
      </c>
      <c r="H15">
        <v>2</v>
      </c>
      <c r="I15">
        <v>13</v>
      </c>
      <c r="K15">
        <v>7</v>
      </c>
      <c r="L15">
        <v>551</v>
      </c>
    </row>
    <row r="16" spans="1:19" x14ac:dyDescent="0.3">
      <c r="E16" t="s">
        <v>13</v>
      </c>
      <c r="F16">
        <v>115</v>
      </c>
      <c r="G16" t="s">
        <v>7</v>
      </c>
      <c r="H16">
        <v>2</v>
      </c>
      <c r="I16">
        <v>14</v>
      </c>
      <c r="K16">
        <v>157</v>
      </c>
      <c r="L16">
        <v>573</v>
      </c>
    </row>
    <row r="17" spans="1:18" x14ac:dyDescent="0.3">
      <c r="E17" t="s">
        <v>20</v>
      </c>
      <c r="F17">
        <v>132</v>
      </c>
      <c r="G17" t="s">
        <v>7</v>
      </c>
      <c r="H17">
        <v>2.5</v>
      </c>
      <c r="I17">
        <v>15</v>
      </c>
      <c r="K17">
        <v>1</v>
      </c>
      <c r="L17">
        <v>573</v>
      </c>
    </row>
    <row r="18" spans="1:18" x14ac:dyDescent="0.3">
      <c r="E18" t="s">
        <v>20</v>
      </c>
      <c r="F18">
        <v>150</v>
      </c>
      <c r="G18" t="s">
        <v>7</v>
      </c>
      <c r="H18">
        <v>2.5</v>
      </c>
      <c r="I18">
        <v>16</v>
      </c>
      <c r="K18">
        <v>1</v>
      </c>
      <c r="L18">
        <v>573</v>
      </c>
    </row>
    <row r="19" spans="1:18" x14ac:dyDescent="0.3">
      <c r="E19" t="s">
        <v>20</v>
      </c>
      <c r="F19">
        <v>173</v>
      </c>
      <c r="G19" t="s">
        <v>7</v>
      </c>
      <c r="H19">
        <v>2</v>
      </c>
      <c r="I19">
        <v>17</v>
      </c>
      <c r="K19">
        <v>314</v>
      </c>
      <c r="L19">
        <v>573</v>
      </c>
    </row>
    <row r="20" spans="1:18" x14ac:dyDescent="0.3">
      <c r="E20" t="s">
        <v>20</v>
      </c>
      <c r="F20">
        <v>190</v>
      </c>
      <c r="G20" t="s">
        <v>8</v>
      </c>
      <c r="H20">
        <v>2.5</v>
      </c>
      <c r="I20">
        <v>18</v>
      </c>
      <c r="K20">
        <v>1</v>
      </c>
      <c r="L20">
        <v>573</v>
      </c>
    </row>
    <row r="23" spans="1:18" x14ac:dyDescent="0.3">
      <c r="A23">
        <v>4</v>
      </c>
      <c r="B23" t="s">
        <v>45</v>
      </c>
      <c r="C23" t="s">
        <v>21</v>
      </c>
      <c r="D23" s="1">
        <v>42552</v>
      </c>
      <c r="E23" t="s">
        <v>13</v>
      </c>
      <c r="F23">
        <v>5</v>
      </c>
      <c r="G23" t="s">
        <v>7</v>
      </c>
      <c r="H23">
        <v>2</v>
      </c>
      <c r="I23">
        <v>19</v>
      </c>
      <c r="K23">
        <v>1</v>
      </c>
      <c r="L23">
        <v>490</v>
      </c>
      <c r="M23" s="4" t="s">
        <v>6</v>
      </c>
      <c r="Q23">
        <v>80</v>
      </c>
      <c r="R23">
        <v>10.6</v>
      </c>
    </row>
    <row r="24" spans="1:18" x14ac:dyDescent="0.3">
      <c r="E24" t="s">
        <v>13</v>
      </c>
      <c r="F24">
        <v>11</v>
      </c>
      <c r="G24" t="s">
        <v>7</v>
      </c>
      <c r="H24">
        <v>3</v>
      </c>
      <c r="I24">
        <f>(I23+1)</f>
        <v>20</v>
      </c>
      <c r="K24">
        <v>1</v>
      </c>
      <c r="L24">
        <v>490</v>
      </c>
    </row>
    <row r="25" spans="1:18" x14ac:dyDescent="0.3">
      <c r="E25" t="s">
        <v>13</v>
      </c>
      <c r="F25">
        <v>13</v>
      </c>
      <c r="G25" t="s">
        <v>7</v>
      </c>
      <c r="H25">
        <v>3</v>
      </c>
      <c r="I25">
        <f t="shared" ref="I25:I31" si="0">(I24+1)</f>
        <v>21</v>
      </c>
      <c r="K25">
        <v>1</v>
      </c>
      <c r="L25">
        <v>490</v>
      </c>
    </row>
    <row r="26" spans="1:18" x14ac:dyDescent="0.3">
      <c r="E26" t="s">
        <v>13</v>
      </c>
      <c r="F26">
        <v>43</v>
      </c>
      <c r="G26" t="s">
        <v>7</v>
      </c>
      <c r="H26">
        <v>2</v>
      </c>
      <c r="I26">
        <f t="shared" si="0"/>
        <v>22</v>
      </c>
      <c r="K26">
        <v>1</v>
      </c>
      <c r="L26">
        <v>490</v>
      </c>
    </row>
    <row r="27" spans="1:18" x14ac:dyDescent="0.3">
      <c r="E27" t="s">
        <v>13</v>
      </c>
      <c r="F27">
        <v>59</v>
      </c>
      <c r="G27" t="s">
        <v>7</v>
      </c>
      <c r="H27">
        <v>2</v>
      </c>
      <c r="I27">
        <f t="shared" si="0"/>
        <v>23</v>
      </c>
      <c r="K27">
        <v>1</v>
      </c>
      <c r="L27">
        <v>475</v>
      </c>
    </row>
    <row r="28" spans="1:18" x14ac:dyDescent="0.3">
      <c r="E28" t="s">
        <v>13</v>
      </c>
      <c r="F28">
        <v>74</v>
      </c>
      <c r="G28" t="s">
        <v>7</v>
      </c>
      <c r="H28">
        <v>2.5</v>
      </c>
      <c r="I28">
        <v>26</v>
      </c>
      <c r="K28">
        <v>1</v>
      </c>
      <c r="L28">
        <v>490</v>
      </c>
    </row>
    <row r="29" spans="1:18" x14ac:dyDescent="0.3">
      <c r="E29" t="s">
        <v>13</v>
      </c>
      <c r="F29">
        <v>96</v>
      </c>
      <c r="G29" t="s">
        <v>7</v>
      </c>
      <c r="H29">
        <v>2</v>
      </c>
      <c r="I29">
        <f t="shared" si="0"/>
        <v>27</v>
      </c>
      <c r="K29">
        <v>1</v>
      </c>
      <c r="L29">
        <v>490</v>
      </c>
    </row>
    <row r="30" spans="1:18" x14ac:dyDescent="0.3">
      <c r="E30" t="s">
        <v>13</v>
      </c>
      <c r="F30">
        <v>96</v>
      </c>
      <c r="G30" t="s">
        <v>8</v>
      </c>
      <c r="H30">
        <v>3</v>
      </c>
      <c r="I30">
        <f t="shared" si="0"/>
        <v>28</v>
      </c>
      <c r="K30">
        <v>1</v>
      </c>
      <c r="L30">
        <v>490</v>
      </c>
    </row>
    <row r="31" spans="1:18" x14ac:dyDescent="0.3">
      <c r="E31" t="s">
        <v>20</v>
      </c>
      <c r="F31">
        <v>151</v>
      </c>
      <c r="G31" t="s">
        <v>7</v>
      </c>
      <c r="H31">
        <v>2</v>
      </c>
      <c r="I31">
        <f t="shared" si="0"/>
        <v>29</v>
      </c>
      <c r="K31">
        <v>1</v>
      </c>
      <c r="L31">
        <v>490</v>
      </c>
    </row>
    <row r="34" spans="1:20" x14ac:dyDescent="0.3">
      <c r="A34">
        <v>6</v>
      </c>
      <c r="B34" t="s">
        <v>47</v>
      </c>
      <c r="C34" t="s">
        <v>21</v>
      </c>
      <c r="D34" s="1">
        <v>42555</v>
      </c>
      <c r="E34" t="s">
        <v>13</v>
      </c>
      <c r="F34">
        <v>60</v>
      </c>
      <c r="G34" t="s">
        <v>7</v>
      </c>
      <c r="H34">
        <v>2</v>
      </c>
      <c r="I34">
        <v>30</v>
      </c>
      <c r="K34">
        <v>1</v>
      </c>
      <c r="L34">
        <v>180</v>
      </c>
      <c r="M34" s="4" t="s">
        <v>6</v>
      </c>
      <c r="Q34">
        <v>80</v>
      </c>
      <c r="R34">
        <v>10.6</v>
      </c>
    </row>
    <row r="35" spans="1:20" x14ac:dyDescent="0.3">
      <c r="E35" t="s">
        <v>13</v>
      </c>
      <c r="F35">
        <v>84</v>
      </c>
      <c r="G35" t="s">
        <v>7</v>
      </c>
      <c r="H35">
        <v>2.5</v>
      </c>
      <c r="I35">
        <f>(I34+1)</f>
        <v>31</v>
      </c>
      <c r="K35">
        <v>1</v>
      </c>
      <c r="L35" s="17">
        <v>336</v>
      </c>
    </row>
    <row r="36" spans="1:20" x14ac:dyDescent="0.3">
      <c r="E36" t="s">
        <v>13</v>
      </c>
      <c r="F36">
        <v>111</v>
      </c>
      <c r="G36" t="s">
        <v>7</v>
      </c>
      <c r="H36">
        <v>2</v>
      </c>
      <c r="I36">
        <f t="shared" ref="I36:I37" si="1">(I35+1)</f>
        <v>32</v>
      </c>
      <c r="K36">
        <v>1</v>
      </c>
      <c r="L36">
        <v>551</v>
      </c>
    </row>
    <row r="37" spans="1:20" x14ac:dyDescent="0.3">
      <c r="E37" t="s">
        <v>13</v>
      </c>
      <c r="F37">
        <v>111</v>
      </c>
      <c r="G37" t="s">
        <v>8</v>
      </c>
      <c r="H37">
        <v>2</v>
      </c>
      <c r="I37">
        <f t="shared" si="1"/>
        <v>33</v>
      </c>
      <c r="K37">
        <v>1</v>
      </c>
      <c r="L37">
        <v>551</v>
      </c>
    </row>
    <row r="39" spans="1:20" x14ac:dyDescent="0.3">
      <c r="A39">
        <v>7</v>
      </c>
      <c r="B39" t="s">
        <v>48</v>
      </c>
      <c r="C39" t="s">
        <v>21</v>
      </c>
      <c r="D39" s="1">
        <v>42556</v>
      </c>
      <c r="E39" t="s">
        <v>13</v>
      </c>
      <c r="F39">
        <v>9</v>
      </c>
      <c r="G39" t="s">
        <v>7</v>
      </c>
      <c r="H39">
        <v>2.5</v>
      </c>
      <c r="I39">
        <v>34</v>
      </c>
      <c r="K39">
        <v>1</v>
      </c>
      <c r="L39">
        <v>499</v>
      </c>
      <c r="M39" s="4" t="s">
        <v>6</v>
      </c>
      <c r="Q39">
        <v>80</v>
      </c>
      <c r="R39">
        <v>10.6</v>
      </c>
      <c r="S39" t="s">
        <v>70</v>
      </c>
      <c r="T39" t="s">
        <v>71</v>
      </c>
    </row>
    <row r="40" spans="1:20" x14ac:dyDescent="0.3">
      <c r="E40" t="s">
        <v>13</v>
      </c>
      <c r="F40">
        <v>75</v>
      </c>
      <c r="G40" t="s">
        <v>7</v>
      </c>
      <c r="H40">
        <v>3.5</v>
      </c>
      <c r="I40">
        <f>(I39+1)</f>
        <v>35</v>
      </c>
      <c r="K40">
        <v>2</v>
      </c>
      <c r="L40">
        <v>499</v>
      </c>
    </row>
    <row r="41" spans="1:20" x14ac:dyDescent="0.3">
      <c r="E41" t="s">
        <v>13</v>
      </c>
      <c r="F41">
        <v>85</v>
      </c>
      <c r="G41" t="s">
        <v>7</v>
      </c>
      <c r="H41">
        <v>3</v>
      </c>
      <c r="I41">
        <f>(I40+1)</f>
        <v>36</v>
      </c>
      <c r="K41">
        <v>34</v>
      </c>
      <c r="L41">
        <v>499</v>
      </c>
    </row>
    <row r="44" spans="1:20" x14ac:dyDescent="0.3">
      <c r="A44">
        <v>9</v>
      </c>
      <c r="B44" t="s">
        <v>50</v>
      </c>
      <c r="C44" t="s">
        <v>21</v>
      </c>
      <c r="D44" s="1">
        <v>42558</v>
      </c>
      <c r="E44" t="s">
        <v>13</v>
      </c>
      <c r="F44">
        <v>44</v>
      </c>
      <c r="G44" t="s">
        <v>7</v>
      </c>
      <c r="H44">
        <v>2</v>
      </c>
      <c r="I44">
        <v>37</v>
      </c>
      <c r="K44">
        <v>1</v>
      </c>
      <c r="L44">
        <v>574</v>
      </c>
      <c r="M44" s="4" t="s">
        <v>12</v>
      </c>
      <c r="N44">
        <v>-140</v>
      </c>
      <c r="O44">
        <v>-140</v>
      </c>
      <c r="P44">
        <v>200</v>
      </c>
      <c r="Q44">
        <v>70</v>
      </c>
      <c r="R44">
        <v>10.6</v>
      </c>
      <c r="T44" t="s">
        <v>72</v>
      </c>
    </row>
    <row r="45" spans="1:20" x14ac:dyDescent="0.3">
      <c r="E45" t="s">
        <v>13</v>
      </c>
      <c r="F45" s="7">
        <v>56</v>
      </c>
      <c r="G45" s="7" t="s">
        <v>7</v>
      </c>
      <c r="H45" s="7">
        <v>2</v>
      </c>
      <c r="I45" s="7">
        <v>38</v>
      </c>
      <c r="J45" s="7"/>
      <c r="K45" s="7">
        <v>1</v>
      </c>
      <c r="L45" s="7">
        <v>574</v>
      </c>
    </row>
    <row r="47" spans="1:20" x14ac:dyDescent="0.3">
      <c r="A47">
        <v>10</v>
      </c>
      <c r="B47" t="s">
        <v>51</v>
      </c>
      <c r="C47" t="s">
        <v>21</v>
      </c>
      <c r="D47" s="1">
        <v>42559</v>
      </c>
      <c r="E47" t="s">
        <v>13</v>
      </c>
      <c r="F47">
        <v>33</v>
      </c>
      <c r="G47" t="s">
        <v>7</v>
      </c>
      <c r="H47">
        <v>2.5</v>
      </c>
      <c r="I47">
        <v>39</v>
      </c>
      <c r="K47">
        <v>1</v>
      </c>
      <c r="L47">
        <v>599</v>
      </c>
      <c r="M47" s="4" t="s">
        <v>12</v>
      </c>
      <c r="N47">
        <v>-130</v>
      </c>
      <c r="O47">
        <v>-140</v>
      </c>
      <c r="P47">
        <v>200</v>
      </c>
      <c r="Q47">
        <v>70</v>
      </c>
      <c r="R47">
        <v>10.6</v>
      </c>
    </row>
    <row r="48" spans="1:20" x14ac:dyDescent="0.3">
      <c r="E48" t="s">
        <v>13</v>
      </c>
      <c r="F48">
        <v>33</v>
      </c>
      <c r="G48" t="s">
        <v>8</v>
      </c>
      <c r="H48">
        <v>2</v>
      </c>
      <c r="I48">
        <f>(I47+1)</f>
        <v>40</v>
      </c>
      <c r="K48">
        <v>1</v>
      </c>
      <c r="L48">
        <v>599</v>
      </c>
    </row>
    <row r="49" spans="1:18" x14ac:dyDescent="0.3">
      <c r="E49" t="s">
        <v>13</v>
      </c>
      <c r="F49">
        <v>72</v>
      </c>
      <c r="G49" t="s">
        <v>7</v>
      </c>
      <c r="H49">
        <v>2</v>
      </c>
      <c r="I49">
        <v>42</v>
      </c>
      <c r="K49">
        <v>1</v>
      </c>
      <c r="L49">
        <v>599</v>
      </c>
    </row>
    <row r="50" spans="1:18" x14ac:dyDescent="0.3">
      <c r="E50" t="s">
        <v>20</v>
      </c>
      <c r="F50">
        <v>149</v>
      </c>
      <c r="G50" t="s">
        <v>7</v>
      </c>
      <c r="H50">
        <v>3.5</v>
      </c>
      <c r="I50">
        <f t="shared" ref="I50" si="2">(I49+1)</f>
        <v>43</v>
      </c>
      <c r="K50">
        <v>1</v>
      </c>
      <c r="L50">
        <v>599</v>
      </c>
    </row>
    <row r="52" spans="1:18" x14ac:dyDescent="0.3">
      <c r="A52" s="7">
        <v>11</v>
      </c>
      <c r="B52" s="7" t="s">
        <v>52</v>
      </c>
      <c r="C52" s="7" t="s">
        <v>21</v>
      </c>
      <c r="D52" s="15">
        <v>42560</v>
      </c>
      <c r="E52" s="7" t="s">
        <v>13</v>
      </c>
      <c r="F52" s="7">
        <v>33</v>
      </c>
      <c r="G52" s="7" t="s">
        <v>7</v>
      </c>
      <c r="H52" s="7">
        <v>2</v>
      </c>
      <c r="I52" s="7">
        <v>44</v>
      </c>
      <c r="K52" s="7">
        <v>1</v>
      </c>
      <c r="L52" s="7">
        <v>504</v>
      </c>
      <c r="M52" s="16" t="s">
        <v>12</v>
      </c>
      <c r="N52" s="7">
        <v>-130</v>
      </c>
      <c r="O52" s="7">
        <v>-140</v>
      </c>
      <c r="P52" s="7">
        <v>200</v>
      </c>
      <c r="Q52" s="7">
        <v>70</v>
      </c>
      <c r="R52" s="7">
        <v>10.65</v>
      </c>
    </row>
    <row r="53" spans="1:18" x14ac:dyDescent="0.3">
      <c r="A53" s="16" t="s">
        <v>74</v>
      </c>
      <c r="B53" s="16"/>
      <c r="C53" s="16"/>
      <c r="D53" s="19"/>
      <c r="E53" s="7" t="s">
        <v>13</v>
      </c>
      <c r="F53" s="7">
        <v>33</v>
      </c>
      <c r="G53" s="7" t="s">
        <v>8</v>
      </c>
      <c r="H53" s="7">
        <v>2.5</v>
      </c>
      <c r="I53" s="7">
        <f>(I52+1)</f>
        <v>45</v>
      </c>
      <c r="K53" s="7">
        <v>1</v>
      </c>
      <c r="L53" s="7">
        <v>504</v>
      </c>
      <c r="M53" s="16"/>
    </row>
    <row r="54" spans="1:18" x14ac:dyDescent="0.3">
      <c r="A54" s="16" t="s">
        <v>75</v>
      </c>
      <c r="B54" s="16"/>
      <c r="C54" s="16"/>
      <c r="D54" s="19"/>
      <c r="E54" s="7" t="s">
        <v>13</v>
      </c>
      <c r="F54" s="7">
        <v>36</v>
      </c>
      <c r="G54" s="7" t="s">
        <v>7</v>
      </c>
      <c r="H54" s="7">
        <v>3</v>
      </c>
      <c r="I54" s="7">
        <f t="shared" ref="I54:I58" si="3">(I53+1)</f>
        <v>46</v>
      </c>
      <c r="K54" s="7">
        <v>1</v>
      </c>
      <c r="L54" s="7">
        <v>504</v>
      </c>
      <c r="M54" s="16"/>
    </row>
    <row r="55" spans="1:18" x14ac:dyDescent="0.3">
      <c r="D55" s="15"/>
      <c r="E55" s="7" t="s">
        <v>13</v>
      </c>
      <c r="F55" s="7">
        <v>44</v>
      </c>
      <c r="G55" s="7" t="s">
        <v>7</v>
      </c>
      <c r="H55" s="7">
        <v>3</v>
      </c>
      <c r="I55" s="7">
        <f t="shared" si="3"/>
        <v>47</v>
      </c>
      <c r="K55" s="7">
        <v>1</v>
      </c>
      <c r="L55" s="7">
        <v>504</v>
      </c>
      <c r="M55" s="16"/>
    </row>
    <row r="56" spans="1:18" x14ac:dyDescent="0.3">
      <c r="D56" s="15"/>
      <c r="E56" s="7" t="s">
        <v>13</v>
      </c>
      <c r="F56" s="7">
        <v>44</v>
      </c>
      <c r="G56" s="7" t="s">
        <v>8</v>
      </c>
      <c r="H56" s="7">
        <v>3</v>
      </c>
      <c r="I56" s="7">
        <f t="shared" si="3"/>
        <v>48</v>
      </c>
      <c r="K56" s="7">
        <v>1</v>
      </c>
      <c r="L56" s="7">
        <v>504</v>
      </c>
      <c r="M56" s="16"/>
    </row>
    <row r="57" spans="1:18" x14ac:dyDescent="0.3">
      <c r="D57" s="15"/>
      <c r="E57" s="7" t="s">
        <v>13</v>
      </c>
      <c r="F57" s="7">
        <v>64</v>
      </c>
      <c r="G57" s="7" t="s">
        <v>7</v>
      </c>
      <c r="H57" s="7">
        <v>2.5</v>
      </c>
      <c r="I57" s="7">
        <f t="shared" si="3"/>
        <v>49</v>
      </c>
      <c r="K57" s="7">
        <v>1</v>
      </c>
      <c r="L57" s="7">
        <v>504</v>
      </c>
      <c r="M57" s="16"/>
    </row>
    <row r="58" spans="1:18" x14ac:dyDescent="0.3">
      <c r="D58" s="15"/>
      <c r="E58" s="7" t="s">
        <v>13</v>
      </c>
      <c r="F58" s="7">
        <v>72</v>
      </c>
      <c r="G58" s="7" t="s">
        <v>7</v>
      </c>
      <c r="H58" s="7">
        <v>2.5</v>
      </c>
      <c r="I58" s="7">
        <f t="shared" si="3"/>
        <v>50</v>
      </c>
      <c r="K58" s="7">
        <v>1</v>
      </c>
      <c r="L58" s="7">
        <v>504</v>
      </c>
      <c r="M58" s="16"/>
    </row>
    <row r="60" spans="1:18" x14ac:dyDescent="0.3">
      <c r="A60">
        <v>12</v>
      </c>
      <c r="B60" t="s">
        <v>53</v>
      </c>
      <c r="C60" t="s">
        <v>21</v>
      </c>
      <c r="D60" s="1">
        <v>42562</v>
      </c>
      <c r="E60" t="s">
        <v>13</v>
      </c>
      <c r="F60">
        <v>72</v>
      </c>
      <c r="G60" t="s">
        <v>7</v>
      </c>
      <c r="H60">
        <v>2</v>
      </c>
      <c r="I60">
        <v>52</v>
      </c>
      <c r="K60" s="7">
        <v>1</v>
      </c>
      <c r="L60" s="7">
        <v>719</v>
      </c>
      <c r="M60" s="4" t="s">
        <v>12</v>
      </c>
      <c r="N60" s="7">
        <v>-120</v>
      </c>
      <c r="O60" s="7">
        <v>-150</v>
      </c>
      <c r="P60" s="7">
        <v>200</v>
      </c>
      <c r="Q60" s="7">
        <v>70</v>
      </c>
      <c r="R60" s="7">
        <v>10.7</v>
      </c>
    </row>
    <row r="61" spans="1:18" x14ac:dyDescent="0.3">
      <c r="E61" t="s">
        <v>13</v>
      </c>
      <c r="F61">
        <v>77</v>
      </c>
      <c r="G61" t="s">
        <v>7</v>
      </c>
      <c r="H61">
        <v>2.5</v>
      </c>
      <c r="I61">
        <f t="shared" ref="I61:I62" si="4">(I60+1)</f>
        <v>53</v>
      </c>
      <c r="K61" s="7">
        <v>1</v>
      </c>
      <c r="L61" s="7">
        <v>719</v>
      </c>
    </row>
    <row r="62" spans="1:18" x14ac:dyDescent="0.3">
      <c r="E62" t="s">
        <v>13</v>
      </c>
      <c r="F62">
        <v>123</v>
      </c>
      <c r="G62" t="s">
        <v>7</v>
      </c>
      <c r="H62">
        <v>2</v>
      </c>
      <c r="I62">
        <f t="shared" si="4"/>
        <v>54</v>
      </c>
      <c r="K62" s="7">
        <v>1</v>
      </c>
      <c r="L62" s="7">
        <v>702</v>
      </c>
    </row>
    <row r="65" spans="1:19" x14ac:dyDescent="0.3">
      <c r="A65">
        <v>13</v>
      </c>
      <c r="B65" t="s">
        <v>54</v>
      </c>
      <c r="C65" t="s">
        <v>21</v>
      </c>
      <c r="D65" s="1">
        <v>42563</v>
      </c>
      <c r="E65" t="s">
        <v>13</v>
      </c>
      <c r="F65">
        <v>64</v>
      </c>
      <c r="G65" t="s">
        <v>7</v>
      </c>
      <c r="H65">
        <v>2.5</v>
      </c>
      <c r="I65">
        <v>56</v>
      </c>
      <c r="K65">
        <v>1</v>
      </c>
      <c r="L65">
        <v>736</v>
      </c>
      <c r="M65" s="4" t="s">
        <v>12</v>
      </c>
      <c r="N65" s="7">
        <v>-130</v>
      </c>
      <c r="O65" s="7">
        <v>-120</v>
      </c>
      <c r="P65" s="7">
        <v>200</v>
      </c>
      <c r="Q65" s="7">
        <v>70</v>
      </c>
      <c r="R65" s="7">
        <v>10.7</v>
      </c>
      <c r="S65" s="7"/>
    </row>
    <row r="66" spans="1:19" x14ac:dyDescent="0.3">
      <c r="E66" t="s">
        <v>13</v>
      </c>
      <c r="F66">
        <v>82</v>
      </c>
      <c r="G66" t="s">
        <v>7</v>
      </c>
      <c r="H66">
        <v>2.5</v>
      </c>
      <c r="I66">
        <v>58</v>
      </c>
      <c r="K66">
        <v>1</v>
      </c>
      <c r="L66">
        <v>736</v>
      </c>
    </row>
    <row r="67" spans="1:19" x14ac:dyDescent="0.3">
      <c r="E67" t="s">
        <v>20</v>
      </c>
      <c r="F67">
        <v>157</v>
      </c>
      <c r="G67" t="s">
        <v>7</v>
      </c>
      <c r="H67">
        <v>3.5</v>
      </c>
      <c r="I67">
        <f>(I66+1)</f>
        <v>59</v>
      </c>
      <c r="K67">
        <v>1</v>
      </c>
      <c r="L67">
        <v>730</v>
      </c>
    </row>
    <row r="69" spans="1:19" x14ac:dyDescent="0.3">
      <c r="A69">
        <v>15</v>
      </c>
      <c r="B69" t="s">
        <v>56</v>
      </c>
      <c r="C69" t="s">
        <v>21</v>
      </c>
      <c r="D69" s="1">
        <v>42565</v>
      </c>
      <c r="E69" t="s">
        <v>13</v>
      </c>
      <c r="F69">
        <v>72</v>
      </c>
      <c r="G69" t="s">
        <v>7</v>
      </c>
      <c r="H69">
        <v>2.5</v>
      </c>
      <c r="I69">
        <v>61</v>
      </c>
      <c r="K69">
        <v>7</v>
      </c>
      <c r="L69">
        <v>630</v>
      </c>
      <c r="M69" s="4" t="s">
        <v>12</v>
      </c>
      <c r="N69">
        <v>-140</v>
      </c>
      <c r="O69">
        <v>-130</v>
      </c>
      <c r="P69">
        <v>200</v>
      </c>
      <c r="Q69">
        <v>70</v>
      </c>
      <c r="R69">
        <v>10.75</v>
      </c>
    </row>
    <row r="71" spans="1:19" x14ac:dyDescent="0.3">
      <c r="A71">
        <v>16</v>
      </c>
      <c r="B71" t="s">
        <v>57</v>
      </c>
      <c r="C71" t="s">
        <v>21</v>
      </c>
      <c r="D71" s="1">
        <v>42566</v>
      </c>
      <c r="E71" t="s">
        <v>13</v>
      </c>
      <c r="F71">
        <v>39</v>
      </c>
      <c r="G71" t="s">
        <v>7</v>
      </c>
      <c r="H71">
        <v>2.5</v>
      </c>
      <c r="I71">
        <v>63</v>
      </c>
      <c r="K71">
        <v>1</v>
      </c>
      <c r="L71">
        <v>692</v>
      </c>
      <c r="M71" s="4" t="s">
        <v>12</v>
      </c>
      <c r="N71">
        <v>-120</v>
      </c>
      <c r="O71">
        <v>-125</v>
      </c>
      <c r="P71">
        <v>200</v>
      </c>
      <c r="Q71">
        <v>70</v>
      </c>
      <c r="R71">
        <v>10.8</v>
      </c>
    </row>
    <row r="72" spans="1:19" x14ac:dyDescent="0.3">
      <c r="E72" t="s">
        <v>13</v>
      </c>
      <c r="F72">
        <v>82</v>
      </c>
      <c r="G72" t="s">
        <v>7</v>
      </c>
      <c r="H72">
        <v>2.5</v>
      </c>
      <c r="I72" s="7">
        <v>65</v>
      </c>
      <c r="K72">
        <v>4</v>
      </c>
      <c r="L72">
        <v>692</v>
      </c>
    </row>
    <row r="73" spans="1:19" x14ac:dyDescent="0.3">
      <c r="E73" t="s">
        <v>13</v>
      </c>
      <c r="F73">
        <v>101</v>
      </c>
      <c r="G73" t="s">
        <v>7</v>
      </c>
      <c r="H73">
        <v>2.5</v>
      </c>
      <c r="I73" s="7">
        <f>(I72+1)</f>
        <v>66</v>
      </c>
      <c r="K73">
        <v>44</v>
      </c>
      <c r="L73">
        <v>692</v>
      </c>
    </row>
    <row r="75" spans="1:19" x14ac:dyDescent="0.3">
      <c r="A75">
        <v>17</v>
      </c>
      <c r="B75" t="s">
        <v>58</v>
      </c>
      <c r="C75" t="s">
        <v>21</v>
      </c>
      <c r="D75" s="1">
        <v>42569</v>
      </c>
      <c r="E75" t="s">
        <v>13</v>
      </c>
      <c r="F75">
        <v>66</v>
      </c>
      <c r="G75" t="s">
        <v>7</v>
      </c>
      <c r="H75">
        <v>2</v>
      </c>
      <c r="I75">
        <v>68</v>
      </c>
      <c r="K75">
        <v>28</v>
      </c>
      <c r="L75">
        <v>751</v>
      </c>
      <c r="M75" s="4" t="s">
        <v>12</v>
      </c>
      <c r="N75" s="7">
        <v>-145</v>
      </c>
      <c r="O75" s="7">
        <v>-140</v>
      </c>
      <c r="P75" s="7">
        <v>200</v>
      </c>
      <c r="Q75" s="7">
        <v>70</v>
      </c>
      <c r="R75" s="7">
        <v>10.9</v>
      </c>
    </row>
    <row r="76" spans="1:19" x14ac:dyDescent="0.3">
      <c r="E76" t="s">
        <v>13</v>
      </c>
      <c r="F76">
        <v>123</v>
      </c>
      <c r="G76" t="s">
        <v>7</v>
      </c>
      <c r="H76">
        <v>2.5</v>
      </c>
      <c r="I76">
        <v>70</v>
      </c>
      <c r="K76">
        <v>1</v>
      </c>
      <c r="L76">
        <v>751</v>
      </c>
    </row>
    <row r="78" spans="1:19" x14ac:dyDescent="0.3">
      <c r="A78">
        <v>18</v>
      </c>
      <c r="B78" t="s">
        <v>59</v>
      </c>
      <c r="C78" t="s">
        <v>21</v>
      </c>
      <c r="D78" s="1">
        <v>42570</v>
      </c>
      <c r="E78" t="s">
        <v>13</v>
      </c>
      <c r="F78">
        <v>72</v>
      </c>
      <c r="G78" t="s">
        <v>7</v>
      </c>
      <c r="H78">
        <v>2.5</v>
      </c>
      <c r="I78">
        <v>72</v>
      </c>
      <c r="K78">
        <v>1</v>
      </c>
      <c r="L78">
        <v>814</v>
      </c>
      <c r="M78" s="4" t="s">
        <v>12</v>
      </c>
      <c r="N78" s="7">
        <v>-150</v>
      </c>
      <c r="O78" s="7">
        <v>-140</v>
      </c>
      <c r="P78" s="7">
        <v>200</v>
      </c>
      <c r="Q78" s="7">
        <v>70</v>
      </c>
      <c r="R78" s="7">
        <v>10.95</v>
      </c>
      <c r="S78" s="7"/>
    </row>
    <row r="80" spans="1:19" x14ac:dyDescent="0.3">
      <c r="A80">
        <v>19</v>
      </c>
      <c r="B80" t="s">
        <v>60</v>
      </c>
      <c r="C80" t="s">
        <v>21</v>
      </c>
      <c r="D80" s="1">
        <v>42571</v>
      </c>
      <c r="E80" t="s">
        <v>13</v>
      </c>
      <c r="F80">
        <v>18</v>
      </c>
      <c r="G80" t="s">
        <v>7</v>
      </c>
      <c r="H80">
        <v>2.5</v>
      </c>
      <c r="I80">
        <v>73</v>
      </c>
      <c r="K80">
        <v>1</v>
      </c>
      <c r="L80">
        <v>781</v>
      </c>
      <c r="M80" s="4" t="s">
        <v>12</v>
      </c>
      <c r="N80">
        <v>-150</v>
      </c>
      <c r="O80">
        <v>-110</v>
      </c>
      <c r="P80">
        <v>200</v>
      </c>
      <c r="Q80">
        <v>70</v>
      </c>
      <c r="R80">
        <v>11.05</v>
      </c>
    </row>
    <row r="81" spans="1:18" x14ac:dyDescent="0.3">
      <c r="E81" t="s">
        <v>13</v>
      </c>
      <c r="F81">
        <v>72</v>
      </c>
      <c r="G81" t="s">
        <v>7</v>
      </c>
      <c r="H81">
        <v>2.5</v>
      </c>
      <c r="I81">
        <v>74</v>
      </c>
      <c r="K81">
        <v>1</v>
      </c>
      <c r="L81">
        <v>781</v>
      </c>
    </row>
    <row r="83" spans="1:18" x14ac:dyDescent="0.3">
      <c r="A83">
        <v>20</v>
      </c>
      <c r="B83" t="s">
        <v>61</v>
      </c>
      <c r="C83" t="s">
        <v>21</v>
      </c>
      <c r="D83" s="1">
        <v>42572</v>
      </c>
      <c r="E83" t="s">
        <v>13</v>
      </c>
      <c r="F83">
        <v>35</v>
      </c>
      <c r="G83" t="s">
        <v>7</v>
      </c>
      <c r="H83">
        <v>2.5</v>
      </c>
      <c r="I83">
        <v>75</v>
      </c>
      <c r="K83">
        <v>1</v>
      </c>
      <c r="L83">
        <v>742</v>
      </c>
      <c r="M83" s="4" t="s">
        <v>12</v>
      </c>
      <c r="N83">
        <v>-140</v>
      </c>
      <c r="O83">
        <v>-140</v>
      </c>
      <c r="P83">
        <v>200</v>
      </c>
      <c r="Q83">
        <v>70</v>
      </c>
      <c r="R83">
        <v>11</v>
      </c>
    </row>
    <row r="84" spans="1:18" x14ac:dyDescent="0.3">
      <c r="E84" t="s">
        <v>13</v>
      </c>
      <c r="F84">
        <v>69</v>
      </c>
      <c r="G84" t="s">
        <v>7</v>
      </c>
      <c r="H84">
        <v>2.5</v>
      </c>
      <c r="I84">
        <f>(I83+1)</f>
        <v>76</v>
      </c>
      <c r="K84">
        <v>1</v>
      </c>
      <c r="L84">
        <v>742</v>
      </c>
    </row>
    <row r="85" spans="1:18" x14ac:dyDescent="0.3">
      <c r="E85" t="s">
        <v>13</v>
      </c>
      <c r="F85">
        <v>72</v>
      </c>
      <c r="G85" t="s">
        <v>7</v>
      </c>
      <c r="H85">
        <v>2.5</v>
      </c>
      <c r="I85">
        <f t="shared" ref="I85:I87" si="5">(I84+1)</f>
        <v>77</v>
      </c>
      <c r="K85">
        <v>1</v>
      </c>
      <c r="L85">
        <v>742</v>
      </c>
    </row>
    <row r="86" spans="1:18" x14ac:dyDescent="0.3">
      <c r="E86" t="s">
        <v>13</v>
      </c>
      <c r="F86">
        <v>101</v>
      </c>
      <c r="G86" t="s">
        <v>7</v>
      </c>
      <c r="H86">
        <v>2.5</v>
      </c>
      <c r="I86">
        <f t="shared" si="5"/>
        <v>78</v>
      </c>
      <c r="K86">
        <v>1</v>
      </c>
      <c r="L86">
        <v>742</v>
      </c>
    </row>
    <row r="87" spans="1:18" x14ac:dyDescent="0.3">
      <c r="E87" t="s">
        <v>20</v>
      </c>
      <c r="F87">
        <v>189</v>
      </c>
      <c r="G87" t="s">
        <v>7</v>
      </c>
      <c r="H87">
        <v>3.5</v>
      </c>
      <c r="I87">
        <f t="shared" si="5"/>
        <v>79</v>
      </c>
      <c r="K87">
        <v>1</v>
      </c>
      <c r="L87">
        <v>742</v>
      </c>
    </row>
    <row r="91" spans="1:18" x14ac:dyDescent="0.3">
      <c r="B91" s="3"/>
      <c r="C91" s="3"/>
      <c r="D91" s="9"/>
      <c r="E91" s="3"/>
      <c r="F91" s="3"/>
      <c r="M9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4"/>
  <sheetViews>
    <sheetView topLeftCell="C1" workbookViewId="0">
      <selection activeCell="O21" sqref="O21"/>
    </sheetView>
  </sheetViews>
  <sheetFormatPr defaultRowHeight="14.4" x14ac:dyDescent="0.3"/>
  <cols>
    <col min="2" max="2" width="20.21875" bestFit="1" customWidth="1"/>
    <col min="3" max="3" width="18.21875" bestFit="1" customWidth="1"/>
    <col min="4" max="4" width="9.5546875" bestFit="1" customWidth="1"/>
    <col min="9" max="9" width="15.88671875" bestFit="1" customWidth="1"/>
    <col min="11" max="11" width="54.5546875" bestFit="1" customWidth="1"/>
  </cols>
  <sheetData>
    <row r="1" spans="1:18" x14ac:dyDescent="0.3">
      <c r="C1" s="3" t="s">
        <v>85</v>
      </c>
      <c r="D1" s="3"/>
      <c r="E1" s="3"/>
      <c r="F1" s="3"/>
    </row>
    <row r="2" spans="1:18" x14ac:dyDescent="0.3">
      <c r="A2" s="4" t="s">
        <v>0</v>
      </c>
      <c r="B2" s="4" t="s">
        <v>9</v>
      </c>
      <c r="C2" s="4" t="s">
        <v>11</v>
      </c>
      <c r="D2" s="4" t="s">
        <v>4</v>
      </c>
      <c r="E2" s="4" t="s">
        <v>5</v>
      </c>
      <c r="F2" s="4" t="s">
        <v>39</v>
      </c>
      <c r="G2" s="4" t="s">
        <v>38</v>
      </c>
      <c r="H2" s="4" t="s">
        <v>1</v>
      </c>
      <c r="I2" s="4" t="s">
        <v>40</v>
      </c>
      <c r="J2" s="4" t="s">
        <v>22</v>
      </c>
      <c r="K2" s="4" t="s">
        <v>14</v>
      </c>
      <c r="M2" s="4" t="s">
        <v>41</v>
      </c>
    </row>
    <row r="3" spans="1:18" x14ac:dyDescent="0.3">
      <c r="A3">
        <v>1</v>
      </c>
      <c r="B3" t="s">
        <v>10</v>
      </c>
      <c r="C3" t="s">
        <v>21</v>
      </c>
      <c r="D3" s="1">
        <v>42520</v>
      </c>
      <c r="E3" t="s">
        <v>6</v>
      </c>
      <c r="F3" t="s">
        <v>13</v>
      </c>
      <c r="G3" s="28">
        <v>75</v>
      </c>
      <c r="H3" s="28" t="s">
        <v>7</v>
      </c>
      <c r="I3" s="28">
        <v>3</v>
      </c>
      <c r="J3" s="28">
        <v>3</v>
      </c>
      <c r="K3" s="28"/>
      <c r="M3" s="6">
        <v>3</v>
      </c>
      <c r="N3" s="6">
        <v>12</v>
      </c>
    </row>
    <row r="4" spans="1:18" x14ac:dyDescent="0.3">
      <c r="D4" s="1"/>
      <c r="M4" s="22">
        <v>23</v>
      </c>
      <c r="N4" s="23">
        <v>24</v>
      </c>
      <c r="O4" s="23">
        <v>25</v>
      </c>
      <c r="P4" s="7"/>
      <c r="Q4" s="7"/>
    </row>
    <row r="5" spans="1:18" x14ac:dyDescent="0.3">
      <c r="A5">
        <v>2</v>
      </c>
      <c r="D5" s="1">
        <v>42521</v>
      </c>
      <c r="E5" t="s">
        <v>12</v>
      </c>
      <c r="F5" t="s">
        <v>13</v>
      </c>
      <c r="G5" s="28">
        <v>75</v>
      </c>
      <c r="H5" s="28" t="s">
        <v>7</v>
      </c>
      <c r="I5" s="28">
        <v>2.5</v>
      </c>
      <c r="J5" s="28">
        <v>12</v>
      </c>
      <c r="K5" s="28" t="s">
        <v>28</v>
      </c>
      <c r="M5" s="24">
        <v>38</v>
      </c>
      <c r="N5" s="25">
        <v>41</v>
      </c>
      <c r="O5" s="25">
        <v>51</v>
      </c>
      <c r="P5" s="25">
        <v>55</v>
      </c>
      <c r="Q5" s="25">
        <v>67</v>
      </c>
      <c r="R5" s="25">
        <v>71</v>
      </c>
    </row>
    <row r="6" spans="1:18" x14ac:dyDescent="0.3">
      <c r="D6" s="1"/>
      <c r="M6" s="21">
        <v>53</v>
      </c>
      <c r="N6" s="21">
        <v>57</v>
      </c>
      <c r="O6" s="2">
        <v>60</v>
      </c>
      <c r="P6" s="2">
        <v>62</v>
      </c>
      <c r="Q6" s="2">
        <v>64</v>
      </c>
    </row>
    <row r="7" spans="1:18" x14ac:dyDescent="0.3">
      <c r="A7">
        <v>4</v>
      </c>
      <c r="D7" s="1">
        <v>42552</v>
      </c>
      <c r="E7" t="s">
        <v>6</v>
      </c>
      <c r="F7" t="s">
        <v>13</v>
      </c>
      <c r="G7" s="23">
        <v>59</v>
      </c>
      <c r="H7" s="23" t="s">
        <v>7</v>
      </c>
      <c r="I7" s="23">
        <v>2</v>
      </c>
      <c r="J7" s="23">
        <v>23</v>
      </c>
      <c r="K7" s="23"/>
      <c r="M7" s="29">
        <v>68</v>
      </c>
      <c r="N7" s="29">
        <v>69</v>
      </c>
    </row>
    <row r="8" spans="1:18" x14ac:dyDescent="0.3">
      <c r="F8" t="s">
        <v>13</v>
      </c>
      <c r="G8" s="23">
        <v>61</v>
      </c>
      <c r="H8" s="23" t="s">
        <v>7</v>
      </c>
      <c r="I8" s="23">
        <v>2</v>
      </c>
      <c r="J8" s="23">
        <f>(J7+1)</f>
        <v>24</v>
      </c>
      <c r="K8" s="23" t="s">
        <v>15</v>
      </c>
      <c r="M8" s="31">
        <v>77</v>
      </c>
      <c r="N8" s="31">
        <v>80</v>
      </c>
    </row>
    <row r="9" spans="1:18" x14ac:dyDescent="0.3">
      <c r="F9" t="s">
        <v>13</v>
      </c>
      <c r="G9" s="23">
        <v>63</v>
      </c>
      <c r="H9" s="23" t="s">
        <v>7</v>
      </c>
      <c r="I9" s="23">
        <v>2</v>
      </c>
      <c r="J9" s="23">
        <f>(J8+1)</f>
        <v>25</v>
      </c>
      <c r="K9" s="23" t="s">
        <v>16</v>
      </c>
      <c r="M9" s="26">
        <v>78</v>
      </c>
      <c r="N9" s="26">
        <v>81</v>
      </c>
    </row>
    <row r="10" spans="1:18" x14ac:dyDescent="0.3">
      <c r="M10" s="5"/>
      <c r="N10" s="5"/>
    </row>
    <row r="11" spans="1:18" x14ac:dyDescent="0.3">
      <c r="M11" s="5"/>
      <c r="N11" s="5"/>
    </row>
    <row r="12" spans="1:18" x14ac:dyDescent="0.3">
      <c r="A12">
        <v>9</v>
      </c>
      <c r="D12" s="1">
        <v>42558</v>
      </c>
      <c r="E12" t="s">
        <v>12</v>
      </c>
      <c r="F12" t="s">
        <v>13</v>
      </c>
      <c r="G12" s="25">
        <v>56</v>
      </c>
      <c r="H12" s="25" t="s">
        <v>7</v>
      </c>
      <c r="I12" s="25">
        <v>2</v>
      </c>
      <c r="J12" s="25">
        <v>38</v>
      </c>
      <c r="K12" s="25"/>
      <c r="M12" s="5"/>
      <c r="N12" s="5"/>
    </row>
    <row r="14" spans="1:18" x14ac:dyDescent="0.3">
      <c r="A14">
        <v>10</v>
      </c>
      <c r="D14" s="1">
        <v>42559</v>
      </c>
      <c r="E14" t="s">
        <v>12</v>
      </c>
      <c r="F14" t="s">
        <v>13</v>
      </c>
      <c r="G14" s="25">
        <v>56</v>
      </c>
      <c r="H14" s="25" t="s">
        <v>7</v>
      </c>
      <c r="I14" s="25">
        <v>2.5</v>
      </c>
      <c r="J14" s="25">
        <v>41</v>
      </c>
      <c r="K14" s="25" t="s">
        <v>73</v>
      </c>
    </row>
    <row r="16" spans="1:18" x14ac:dyDescent="0.3">
      <c r="A16">
        <v>12</v>
      </c>
      <c r="D16" s="1">
        <v>42562</v>
      </c>
      <c r="E16" t="s">
        <v>12</v>
      </c>
      <c r="F16" t="s">
        <v>13</v>
      </c>
      <c r="G16" s="25">
        <v>56</v>
      </c>
      <c r="H16" s="25" t="s">
        <v>7</v>
      </c>
      <c r="I16" s="25">
        <v>2</v>
      </c>
      <c r="J16" s="25">
        <v>51</v>
      </c>
      <c r="K16" s="25" t="s">
        <v>31</v>
      </c>
    </row>
    <row r="17" spans="1:14" x14ac:dyDescent="0.3">
      <c r="F17" t="s">
        <v>13</v>
      </c>
      <c r="G17" s="2">
        <v>77</v>
      </c>
      <c r="H17" s="2" t="s">
        <v>7</v>
      </c>
      <c r="I17" s="2">
        <v>2.5</v>
      </c>
      <c r="J17" s="2">
        <v>53</v>
      </c>
      <c r="K17" s="2"/>
    </row>
    <row r="19" spans="1:14" x14ac:dyDescent="0.3">
      <c r="A19">
        <v>13</v>
      </c>
      <c r="D19" s="1">
        <v>42563</v>
      </c>
      <c r="E19" t="s">
        <v>12</v>
      </c>
      <c r="F19" t="s">
        <v>13</v>
      </c>
      <c r="G19" s="25">
        <v>56</v>
      </c>
      <c r="H19" s="25" t="s">
        <v>7</v>
      </c>
      <c r="I19" s="25">
        <v>2</v>
      </c>
      <c r="J19" s="25">
        <v>55</v>
      </c>
      <c r="K19" s="25" t="s">
        <v>32</v>
      </c>
    </row>
    <row r="20" spans="1:14" x14ac:dyDescent="0.3">
      <c r="F20" t="s">
        <v>13</v>
      </c>
      <c r="G20" s="2">
        <v>77</v>
      </c>
      <c r="H20" s="2" t="s">
        <v>7</v>
      </c>
      <c r="I20" s="2">
        <v>2.5</v>
      </c>
      <c r="J20" s="2">
        <v>57</v>
      </c>
      <c r="K20" s="2" t="s">
        <v>26</v>
      </c>
    </row>
    <row r="22" spans="1:14" x14ac:dyDescent="0.3">
      <c r="A22">
        <v>14</v>
      </c>
      <c r="D22" s="1">
        <v>42564</v>
      </c>
      <c r="E22" t="s">
        <v>12</v>
      </c>
      <c r="F22" t="s">
        <v>13</v>
      </c>
      <c r="G22" s="2">
        <v>77</v>
      </c>
      <c r="H22" s="2" t="s">
        <v>7</v>
      </c>
      <c r="I22" s="2">
        <v>2.5</v>
      </c>
      <c r="J22" s="2">
        <v>60</v>
      </c>
      <c r="K22" s="2" t="s">
        <v>27</v>
      </c>
      <c r="M22" s="5"/>
      <c r="N22" s="5"/>
    </row>
    <row r="23" spans="1:14" x14ac:dyDescent="0.3">
      <c r="M23" s="5"/>
      <c r="N23" s="5"/>
    </row>
    <row r="24" spans="1:14" x14ac:dyDescent="0.3">
      <c r="A24">
        <v>15</v>
      </c>
      <c r="D24" s="1">
        <v>42565</v>
      </c>
      <c r="E24" t="s">
        <v>12</v>
      </c>
      <c r="F24" t="s">
        <v>13</v>
      </c>
      <c r="G24" s="2">
        <v>77</v>
      </c>
      <c r="H24" s="2" t="s">
        <v>7</v>
      </c>
      <c r="I24" s="2">
        <v>2.5</v>
      </c>
      <c r="J24" s="2">
        <v>62</v>
      </c>
      <c r="K24" s="2" t="s">
        <v>17</v>
      </c>
      <c r="M24" s="5"/>
      <c r="N24" s="5"/>
    </row>
    <row r="25" spans="1:14" x14ac:dyDescent="0.3">
      <c r="M25" s="5"/>
      <c r="N25" s="5"/>
    </row>
    <row r="26" spans="1:14" x14ac:dyDescent="0.3">
      <c r="A26">
        <v>16</v>
      </c>
      <c r="D26" s="1">
        <v>42566</v>
      </c>
      <c r="E26" t="s">
        <v>12</v>
      </c>
      <c r="F26" t="s">
        <v>13</v>
      </c>
      <c r="G26" s="2">
        <v>77</v>
      </c>
      <c r="H26" s="2" t="s">
        <v>7</v>
      </c>
      <c r="I26" s="2">
        <v>2.5</v>
      </c>
      <c r="J26" s="2">
        <v>64</v>
      </c>
      <c r="K26" s="2" t="s">
        <v>18</v>
      </c>
      <c r="M26" s="5"/>
      <c r="N26" s="5"/>
    </row>
    <row r="27" spans="1:14" x14ac:dyDescent="0.3">
      <c r="M27" s="5"/>
      <c r="N27" s="5"/>
    </row>
    <row r="28" spans="1:14" x14ac:dyDescent="0.3">
      <c r="A28">
        <v>17</v>
      </c>
      <c r="D28" s="1">
        <v>42569</v>
      </c>
      <c r="E28" t="s">
        <v>12</v>
      </c>
      <c r="F28" t="s">
        <v>13</v>
      </c>
      <c r="G28" s="25">
        <v>56</v>
      </c>
      <c r="H28" s="25" t="s">
        <v>7</v>
      </c>
      <c r="I28" s="25">
        <v>2</v>
      </c>
      <c r="J28" s="25">
        <v>67</v>
      </c>
      <c r="K28" s="25" t="s">
        <v>79</v>
      </c>
      <c r="M28" s="5"/>
      <c r="N28" s="5"/>
    </row>
    <row r="29" spans="1:14" x14ac:dyDescent="0.3">
      <c r="F29" t="s">
        <v>13</v>
      </c>
      <c r="G29" s="27">
        <v>66</v>
      </c>
      <c r="H29" s="27" t="s">
        <v>7</v>
      </c>
      <c r="I29" s="27">
        <v>2</v>
      </c>
      <c r="J29" s="27">
        <v>68</v>
      </c>
      <c r="K29" s="27"/>
      <c r="M29" s="5"/>
      <c r="N29" s="5"/>
    </row>
    <row r="30" spans="1:14" x14ac:dyDescent="0.3">
      <c r="F30" t="s">
        <v>13</v>
      </c>
      <c r="G30" s="27">
        <v>68</v>
      </c>
      <c r="H30" s="27" t="s">
        <v>7</v>
      </c>
      <c r="I30" s="27">
        <v>2</v>
      </c>
      <c r="J30" s="27">
        <v>69</v>
      </c>
      <c r="K30" s="27" t="s">
        <v>33</v>
      </c>
      <c r="M30" s="5"/>
      <c r="N30" s="5"/>
    </row>
    <row r="31" spans="1:14" x14ac:dyDescent="0.3">
      <c r="M31" s="5"/>
      <c r="N31" s="5"/>
    </row>
    <row r="32" spans="1:14" x14ac:dyDescent="0.3">
      <c r="A32">
        <v>18</v>
      </c>
      <c r="D32" s="1">
        <v>42570</v>
      </c>
      <c r="E32" t="s">
        <v>12</v>
      </c>
      <c r="F32" t="s">
        <v>13</v>
      </c>
      <c r="G32" s="25">
        <v>56</v>
      </c>
      <c r="H32" s="25" t="s">
        <v>7</v>
      </c>
      <c r="I32" s="25">
        <v>2</v>
      </c>
      <c r="J32" s="25">
        <v>71</v>
      </c>
      <c r="K32" s="25" t="s">
        <v>19</v>
      </c>
      <c r="M32" s="5"/>
      <c r="N32" s="5"/>
    </row>
    <row r="33" spans="1:14" x14ac:dyDescent="0.3">
      <c r="M33" s="5"/>
      <c r="N33" s="5"/>
    </row>
    <row r="34" spans="1:14" x14ac:dyDescent="0.3">
      <c r="M34" s="5"/>
      <c r="N34" s="5"/>
    </row>
    <row r="35" spans="1:14" x14ac:dyDescent="0.3">
      <c r="A35">
        <v>20</v>
      </c>
      <c r="D35" s="1">
        <v>42572</v>
      </c>
      <c r="F35" t="s">
        <v>13</v>
      </c>
      <c r="G35" s="30">
        <v>72</v>
      </c>
      <c r="H35" s="30" t="s">
        <v>7</v>
      </c>
      <c r="I35" s="30">
        <v>2.5</v>
      </c>
      <c r="J35" s="30">
        <v>77</v>
      </c>
      <c r="K35" s="30"/>
      <c r="M35" s="5"/>
      <c r="N35" s="5"/>
    </row>
    <row r="36" spans="1:14" x14ac:dyDescent="0.3">
      <c r="F36" t="s">
        <v>13</v>
      </c>
      <c r="G36" s="20">
        <v>101</v>
      </c>
      <c r="H36" s="20" t="s">
        <v>7</v>
      </c>
      <c r="I36" s="20">
        <v>2.5</v>
      </c>
      <c r="J36" s="20">
        <v>78</v>
      </c>
      <c r="K36" s="20"/>
      <c r="M36" s="5"/>
      <c r="N36" s="5"/>
    </row>
    <row r="38" spans="1:14" x14ac:dyDescent="0.3">
      <c r="A38">
        <v>21</v>
      </c>
      <c r="D38" s="1">
        <v>42573</v>
      </c>
      <c r="F38" t="s">
        <v>13</v>
      </c>
      <c r="G38" s="30">
        <v>72</v>
      </c>
      <c r="H38" s="30" t="s">
        <v>7</v>
      </c>
      <c r="I38" s="30">
        <v>2.5</v>
      </c>
      <c r="J38" s="30">
        <v>80</v>
      </c>
      <c r="K38" s="30" t="s">
        <v>35</v>
      </c>
    </row>
    <row r="39" spans="1:14" x14ac:dyDescent="0.3">
      <c r="F39" t="s">
        <v>13</v>
      </c>
      <c r="G39" s="20">
        <v>101</v>
      </c>
      <c r="H39" s="20" t="s">
        <v>7</v>
      </c>
      <c r="I39" s="20">
        <v>2.5</v>
      </c>
      <c r="J39" s="20">
        <v>81</v>
      </c>
      <c r="K39" s="20" t="s">
        <v>36</v>
      </c>
    </row>
    <row r="42" spans="1:14" x14ac:dyDescent="0.3">
      <c r="D42" s="1"/>
    </row>
    <row r="43" spans="1:14" x14ac:dyDescent="0.3">
      <c r="D43" s="1"/>
    </row>
    <row r="44" spans="1:14" x14ac:dyDescent="0.3">
      <c r="B44" s="3"/>
      <c r="C44" s="3"/>
      <c r="D44" s="9"/>
      <c r="E44" s="3"/>
      <c r="F44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FILES_SORTED_GENERAL</vt:lpstr>
      <vt:lpstr>FILES_SORTED_FINALE</vt:lpstr>
      <vt:lpstr>FILES_SORTED_ONLY_DIFFERENT_CEL</vt:lpstr>
      <vt:lpstr>COMMON_CELLS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Falcone, Rossella (NIH/NIMH) [F]</cp:lastModifiedBy>
  <dcterms:created xsi:type="dcterms:W3CDTF">2006-09-16T00:00:00Z</dcterms:created>
  <dcterms:modified xsi:type="dcterms:W3CDTF">2019-04-11T20:39:32Z</dcterms:modified>
</cp:coreProperties>
</file>